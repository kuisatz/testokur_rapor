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OKUL KARNESİ" sheetId="13" r:id="rId1"/>
  </sheets>
  <definedNames>
    <definedName name="_xlnm.Print_Area" localSheetId="0">'OKUL KARNESİ'!$A$1:$AM$60</definedName>
  </definedNames>
  <calcPr calcId="152511"/>
</workbook>
</file>

<file path=xl/calcChain.xml><?xml version="1.0" encoding="utf-8"?>
<calcChain xmlns="http://schemas.openxmlformats.org/spreadsheetml/2006/main">
  <c r="AE15" i="13" l="1"/>
  <c r="P13" i="13"/>
  <c r="P12" i="13"/>
  <c r="P11" i="13"/>
  <c r="P10" i="13"/>
  <c r="N11" i="13" l="1"/>
  <c r="N12" i="13"/>
  <c r="N13" i="13"/>
  <c r="N10" i="13"/>
  <c r="H16" i="13"/>
  <c r="AB16" i="13" l="1"/>
  <c r="Z16" i="13"/>
  <c r="X16" i="13"/>
  <c r="T16" i="13"/>
  <c r="V16" i="13"/>
  <c r="R16" i="13"/>
  <c r="P16" i="13" l="1"/>
  <c r="N16" i="13"/>
  <c r="L16" i="13"/>
  <c r="J16" i="13"/>
  <c r="F16" i="13"/>
</calcChain>
</file>

<file path=xl/sharedStrings.xml><?xml version="1.0" encoding="utf-8"?>
<sst xmlns="http://schemas.openxmlformats.org/spreadsheetml/2006/main" count="65" uniqueCount="45">
  <si>
    <t>Sınav Adı</t>
  </si>
  <si>
    <t>Sınav Tarihi</t>
  </si>
  <si>
    <t>Boş</t>
  </si>
  <si>
    <t>Doğru</t>
  </si>
  <si>
    <t>Yanlış</t>
  </si>
  <si>
    <t>Sınıf</t>
  </si>
  <si>
    <t>:</t>
  </si>
  <si>
    <t>DERSLER</t>
  </si>
  <si>
    <t>NET</t>
  </si>
  <si>
    <t>Soru</t>
  </si>
  <si>
    <t>Türkçe</t>
  </si>
  <si>
    <t>BAŞARI (%)</t>
  </si>
  <si>
    <t>İl</t>
  </si>
  <si>
    <t>İlçe</t>
  </si>
  <si>
    <t>Öğrenci</t>
  </si>
  <si>
    <t>Kurum</t>
  </si>
  <si>
    <t>Genel</t>
  </si>
  <si>
    <t>Bilgi</t>
  </si>
  <si>
    <t>İZMİR</t>
  </si>
  <si>
    <t>OKUL KARNESİ</t>
  </si>
  <si>
    <t>Sıralama</t>
  </si>
  <si>
    <t>Puan Ortalaması</t>
  </si>
  <si>
    <t>TOPLAM/ORT.</t>
  </si>
  <si>
    <t>Sınav Ortalamaları</t>
  </si>
  <si>
    <t>PUAN ORTALAMASI</t>
  </si>
  <si>
    <t>Öğrenci Katılımı</t>
  </si>
  <si>
    <t>Dereceniz</t>
  </si>
  <si>
    <t>Okul Ortalamaları</t>
  </si>
  <si>
    <t>Okul Katılımı</t>
  </si>
  <si>
    <t>Puanınız</t>
  </si>
  <si>
    <t>İlçe Ort.</t>
  </si>
  <si>
    <t>İl Ort.</t>
  </si>
  <si>
    <t>Genel Ort.</t>
  </si>
  <si>
    <t>Ortalamanız</t>
  </si>
  <si>
    <t>Puan Ortalamaları,
Katılım ve Sıralama Bilgileri</t>
  </si>
  <si>
    <t>DERSLERİN NET ORTALAMALARINA GÖRE KARŞILAŞTIRILMASI</t>
  </si>
  <si>
    <t>Fen Bilimleri</t>
  </si>
  <si>
    <t>Sosyal Bilimler</t>
  </si>
  <si>
    <t>T.Matematik</t>
  </si>
  <si>
    <t>Başarı</t>
  </si>
  <si>
    <t>Okul Adı</t>
  </si>
  <si>
    <t>YGS ORTAK SINAVI</t>
  </si>
  <si>
    <t>BORNOVA ANADOLU LİSESİ</t>
  </si>
  <si>
    <t>BORNOVA</t>
  </si>
  <si>
    <t>Temel Matematik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</si>
</sst>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1F]d\ mmmm\ yyyy;@"/>
    <numFmt numFmtId="165" formatCode="0.000"/>
    <numFmt numFmtId="166" formatCode="0.0%"/>
  </numFmts>
  <fonts count="15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0" borderId="0" xfId="0" applyFont="1" applyBorder="1" applyAlignment="1">
      <alignment vertical="center"/>
    </xf>
    <xf numFmtId="165" fontId="0" fillId="0" borderId="0" xfId="0" applyNumberFormat="1"/>
    <xf numFmtId="0" fontId="0" fillId="0" borderId="10" xfId="0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165" fontId="0" fillId="0" borderId="0" xfId="0" applyNumberFormat="1" applyAlignment="1">
      <alignment vertical="center"/>
    </xf>
    <xf numFmtId="165" fontId="0" fillId="0" borderId="0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right" vertical="center"/>
    </xf>
    <xf numFmtId="2" fontId="1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3" borderId="1" xfId="0" quotePrefix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164" fontId="2" fillId="0" borderId="0" xfId="0" applyNumberFormat="1" applyFont="1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 shrinkToFit="1"/>
    </xf>
    <xf numFmtId="0" fontId="13" fillId="3" borderId="1" xfId="0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FFCC99"/>
      <color rgb="FFFFFF00"/>
      <color rgb="FF00FF00"/>
      <color rgb="FF0000FF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sz="1050" b="1" baseline="0">
                <a:solidFill>
                  <a:sysClr val="windowText" lastClr="000000"/>
                </a:solidFill>
              </a:rPr>
              <a:t>Okul Puanının Ortalamalar ile Karşılaştırması</a:t>
            </a:r>
            <a:endParaRPr lang="tr-TR" sz="105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9366186369560948"/>
          <c:y val="1.0416666666666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0.21713829104695245"/>
          <c:y val="0.19581854043392505"/>
          <c:w val="0.53989874599008458"/>
          <c:h val="0.584259423193402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'OKUL KARNESİ'!$AR$7</c:f>
              <c:strCache>
                <c:ptCount val="1"/>
                <c:pt idx="0">
                  <c:v>Puanınız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'OKUL KARNESİ'!$AS$7</c:f>
              <c:numCache>
                <c:formatCode>0.000</c:formatCode>
                <c:ptCount val="1"/>
                <c:pt idx="0">
                  <c:v>612.89499999999998</c:v>
                </c:pt>
              </c:numCache>
            </c:numRef>
          </c:val>
        </c:ser>
        <c:ser>
          <c:idx val="1"/>
          <c:order val="1"/>
          <c:tx>
            <c:strRef>
              <c:f>'OKUL KARNESİ'!$AR$8</c:f>
              <c:strCache>
                <c:ptCount val="1"/>
                <c:pt idx="0">
                  <c:v>İlçe Ort.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'OKUL KARNESİ'!$AS$8</c:f>
              <c:numCache>
                <c:formatCode>0.000</c:formatCode>
                <c:ptCount val="1"/>
                <c:pt idx="0">
                  <c:v>450</c:v>
                </c:pt>
              </c:numCache>
            </c:numRef>
          </c:val>
        </c:ser>
        <c:ser>
          <c:idx val="2"/>
          <c:order val="2"/>
          <c:tx>
            <c:strRef>
              <c:f>'OKUL KARNESİ'!$AR$9</c:f>
              <c:strCache>
                <c:ptCount val="1"/>
                <c:pt idx="0">
                  <c:v>İl Ort.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val>
            <c:numRef>
              <c:f>'OKUL KARNESİ'!$AS$9</c:f>
              <c:numCache>
                <c:formatCode>0.000</c:formatCode>
                <c:ptCount val="1"/>
                <c:pt idx="0">
                  <c:v>432</c:v>
                </c:pt>
              </c:numCache>
            </c:numRef>
          </c:val>
        </c:ser>
        <c:ser>
          <c:idx val="3"/>
          <c:order val="3"/>
          <c:tx>
            <c:strRef>
              <c:f>'OKUL KARNESİ'!$AR$10</c:f>
              <c:strCache>
                <c:ptCount val="1"/>
                <c:pt idx="0">
                  <c:v>Genel Ort.</c:v>
                </c:pt>
              </c:strCache>
            </c:strRef>
          </c:tx>
          <c:spPr>
            <a:solidFill>
              <a:srgbClr val="00FF00"/>
            </a:solidFill>
            <a:ln>
              <a:noFill/>
            </a:ln>
            <a:effectLst/>
          </c:spPr>
          <c:invertIfNegative val="0"/>
          <c:val>
            <c:numRef>
              <c:f>'OKUL KARNESİ'!$AS$10</c:f>
              <c:numCache>
                <c:formatCode>0.000</c:formatCode>
                <c:ptCount val="1"/>
                <c:pt idx="0">
                  <c:v>398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4"/>
        <c:overlap val="-70"/>
        <c:axId val="-1767450304"/>
        <c:axId val="-1767456832"/>
      </c:barChart>
      <c:catAx>
        <c:axId val="-1767450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767456832"/>
        <c:crosses val="autoZero"/>
        <c:auto val="1"/>
        <c:lblAlgn val="ctr"/>
        <c:lblOffset val="100"/>
        <c:noMultiLvlLbl val="0"/>
      </c:catAx>
      <c:valAx>
        <c:axId val="-1767456832"/>
        <c:scaling>
          <c:orientation val="minMax"/>
          <c:max val="700"/>
          <c:min val="250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76745030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'OKUL KARNESİ'!$AU$7</c:f>
              <c:strCache>
                <c:ptCount val="1"/>
                <c:pt idx="0">
                  <c:v>Türkçe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</c:dPt>
          <c:cat>
            <c:strRef>
              <c:f>'OKUL KARNESİ'!$AV$6:$AY$6</c:f>
              <c:strCache>
                <c:ptCount val="4"/>
                <c:pt idx="0">
                  <c:v>Ortalamanız</c:v>
                </c:pt>
                <c:pt idx="1">
                  <c:v>İlçe Ort.</c:v>
                </c:pt>
                <c:pt idx="2">
                  <c:v>İl Ort.</c:v>
                </c:pt>
                <c:pt idx="3">
                  <c:v>Genel Ort.</c:v>
                </c:pt>
              </c:strCache>
            </c:strRef>
          </c:cat>
          <c:val>
            <c:numRef>
              <c:f>'OKUL KARNESİ'!$AV$7:$AY$7</c:f>
              <c:numCache>
                <c:formatCode>General</c:formatCode>
                <c:ptCount val="4"/>
                <c:pt idx="0">
                  <c:v>18</c:v>
                </c:pt>
                <c:pt idx="1">
                  <c:v>13</c:v>
                </c:pt>
                <c:pt idx="2">
                  <c:v>11</c:v>
                </c:pt>
                <c:pt idx="3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-1768718000"/>
        <c:axId val="-1589702544"/>
      </c:barChart>
      <c:catAx>
        <c:axId val="-17687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89702544"/>
        <c:crosses val="autoZero"/>
        <c:auto val="1"/>
        <c:lblAlgn val="ctr"/>
        <c:lblOffset val="100"/>
        <c:noMultiLvlLbl val="0"/>
      </c:catAx>
      <c:valAx>
        <c:axId val="-158970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76871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'OKUL KARNESİ'!$AU$8</c:f>
              <c:strCache>
                <c:ptCount val="1"/>
                <c:pt idx="0">
                  <c:v>Sosyal Bilimler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</c:dPt>
          <c:cat>
            <c:strRef>
              <c:f>'OKUL KARNESİ'!$AV$6:$AY$6</c:f>
              <c:strCache>
                <c:ptCount val="4"/>
                <c:pt idx="0">
                  <c:v>Ortalamanız</c:v>
                </c:pt>
                <c:pt idx="1">
                  <c:v>İlçe Ort.</c:v>
                </c:pt>
                <c:pt idx="2">
                  <c:v>İl Ort.</c:v>
                </c:pt>
                <c:pt idx="3">
                  <c:v>Genel Ort.</c:v>
                </c:pt>
              </c:strCache>
            </c:strRef>
          </c:cat>
          <c:val>
            <c:numRef>
              <c:f>'OKUL KARNESİ'!$AV$8:$AY$8</c:f>
              <c:numCache>
                <c:formatCode>General</c:formatCode>
                <c:ptCount val="4"/>
                <c:pt idx="0">
                  <c:v>16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-1589712880"/>
        <c:axId val="-1589710704"/>
      </c:barChart>
      <c:catAx>
        <c:axId val="-158971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89710704"/>
        <c:crosses val="autoZero"/>
        <c:auto val="1"/>
        <c:lblAlgn val="ctr"/>
        <c:lblOffset val="100"/>
        <c:noMultiLvlLbl val="0"/>
      </c:catAx>
      <c:valAx>
        <c:axId val="-158971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8971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'OKUL KARNESİ'!$AU$9</c:f>
              <c:strCache>
                <c:ptCount val="1"/>
                <c:pt idx="0">
                  <c:v>Temel Matematik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</c:dPt>
          <c:cat>
            <c:strRef>
              <c:f>'OKUL KARNESİ'!$AV$6:$AY$6</c:f>
              <c:strCache>
                <c:ptCount val="4"/>
                <c:pt idx="0">
                  <c:v>Ortalamanız</c:v>
                </c:pt>
                <c:pt idx="1">
                  <c:v>İlçe Ort.</c:v>
                </c:pt>
                <c:pt idx="2">
                  <c:v>İl Ort.</c:v>
                </c:pt>
                <c:pt idx="3">
                  <c:v>Genel Ort.</c:v>
                </c:pt>
              </c:strCache>
            </c:strRef>
          </c:cat>
          <c:val>
            <c:numRef>
              <c:f>'OKUL KARNESİ'!$AV$9:$AY$9</c:f>
              <c:numCache>
                <c:formatCode>General</c:formatCode>
                <c:ptCount val="4"/>
                <c:pt idx="0">
                  <c:v>19</c:v>
                </c:pt>
                <c:pt idx="1">
                  <c:v>17</c:v>
                </c:pt>
                <c:pt idx="2">
                  <c:v>15</c:v>
                </c:pt>
                <c:pt idx="3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-1589705808"/>
        <c:axId val="-1589715600"/>
      </c:barChart>
      <c:catAx>
        <c:axId val="-158970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89715600"/>
        <c:crosses val="autoZero"/>
        <c:auto val="1"/>
        <c:lblAlgn val="ctr"/>
        <c:lblOffset val="100"/>
        <c:noMultiLvlLbl val="0"/>
      </c:catAx>
      <c:valAx>
        <c:axId val="-158971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8970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'OKUL KARNESİ'!$AU$10</c:f>
              <c:strCache>
                <c:ptCount val="1"/>
                <c:pt idx="0">
                  <c:v>Fen Bilimleri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</c:dPt>
          <c:cat>
            <c:strRef>
              <c:f>'OKUL KARNESİ'!$AV$6:$AY$6</c:f>
              <c:strCache>
                <c:ptCount val="4"/>
                <c:pt idx="0">
                  <c:v>Ortalamanız</c:v>
                </c:pt>
                <c:pt idx="1">
                  <c:v>İlçe Ort.</c:v>
                </c:pt>
                <c:pt idx="2">
                  <c:v>İl Ort.</c:v>
                </c:pt>
                <c:pt idx="3">
                  <c:v>Genel Ort.</c:v>
                </c:pt>
              </c:strCache>
            </c:strRef>
          </c:cat>
          <c:val>
            <c:numRef>
              <c:f>'OKUL KARNESİ'!$AV$10:$AY$10</c:f>
              <c:numCache>
                <c:formatCode>General</c:formatCode>
                <c:ptCount val="4"/>
                <c:pt idx="0">
                  <c:v>18</c:v>
                </c:pt>
                <c:pt idx="1">
                  <c:v>13</c:v>
                </c:pt>
                <c:pt idx="2">
                  <c:v>11</c:v>
                </c:pt>
                <c:pt idx="3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-1589716688"/>
        <c:axId val="-1589706352"/>
      </c:barChart>
      <c:catAx>
        <c:axId val="-158971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89706352"/>
        <c:crosses val="autoZero"/>
        <c:auto val="1"/>
        <c:lblAlgn val="ctr"/>
        <c:lblOffset val="100"/>
        <c:noMultiLvlLbl val="0"/>
      </c:catAx>
      <c:valAx>
        <c:axId val="-158970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8971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18</xdr:row>
      <xdr:rowOff>9525</xdr:rowOff>
    </xdr:from>
    <xdr:to>
      <xdr:col>37</xdr:col>
      <xdr:colOff>190500</xdr:colOff>
      <xdr:row>26</xdr:row>
      <xdr:rowOff>0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30</xdr:row>
      <xdr:rowOff>9524</xdr:rowOff>
    </xdr:from>
    <xdr:to>
      <xdr:col>19</xdr:col>
      <xdr:colOff>1</xdr:colOff>
      <xdr:row>42</xdr:row>
      <xdr:rowOff>57149</xdr:rowOff>
    </xdr:to>
    <xdr:graphicFrame macro="">
      <xdr:nvGraphicFramePr>
        <xdr:cNvPr id="4" name="Grafi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30</xdr:row>
      <xdr:rowOff>9525</xdr:rowOff>
    </xdr:from>
    <xdr:to>
      <xdr:col>38</xdr:col>
      <xdr:colOff>0</xdr:colOff>
      <xdr:row>42</xdr:row>
      <xdr:rowOff>57150</xdr:rowOff>
    </xdr:to>
    <xdr:graphicFrame macro="">
      <xdr:nvGraphicFramePr>
        <xdr:cNvPr id="16" name="Grafik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85725</xdr:colOff>
      <xdr:row>45</xdr:row>
      <xdr:rowOff>9525</xdr:rowOff>
    </xdr:from>
    <xdr:to>
      <xdr:col>18</xdr:col>
      <xdr:colOff>190500</xdr:colOff>
      <xdr:row>57</xdr:row>
      <xdr:rowOff>76200</xdr:rowOff>
    </xdr:to>
    <xdr:graphicFrame macro="">
      <xdr:nvGraphicFramePr>
        <xdr:cNvPr id="17" name="Grafik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45</xdr:row>
      <xdr:rowOff>9525</xdr:rowOff>
    </xdr:from>
    <xdr:to>
      <xdr:col>38</xdr:col>
      <xdr:colOff>0</xdr:colOff>
      <xdr:row>57</xdr:row>
      <xdr:rowOff>76200</xdr:rowOff>
    </xdr:to>
    <xdr:graphicFrame macro="">
      <xdr:nvGraphicFramePr>
        <xdr:cNvPr id="18" name="Grafik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59"/>
  <sheetViews>
    <sheetView tabSelected="1" zoomScaleNormal="100" workbookViewId="0">
      <selection activeCell="AQ50" sqref="AQ50"/>
    </sheetView>
  </sheetViews>
  <sheetFormatPr defaultRowHeight="15" x14ac:dyDescent="0.25"/>
  <cols>
    <col min="1" max="1" width="1.42578125" style="2" customWidth="1"/>
    <col min="2" max="38" width="3" style="2" customWidth="1"/>
    <col min="39" max="39" width="1.42578125" style="2" customWidth="1"/>
    <col min="40" max="41" width="9.140625" style="2"/>
    <col min="42" max="42" width="8" style="2" bestFit="1" customWidth="1"/>
    <col min="43" max="43" width="8" style="2" customWidth="1"/>
    <col min="44" max="44" width="10.140625" style="2" bestFit="1" customWidth="1"/>
    <col min="45" max="46" width="9.140625" style="2"/>
    <col min="47" max="47" width="17.28515625" style="2" bestFit="1" customWidth="1"/>
    <col min="48" max="48" width="11.5703125" style="2" bestFit="1" customWidth="1"/>
    <col min="49" max="49" width="8" style="2" bestFit="1" customWidth="1"/>
    <col min="50" max="50" width="6" style="2" bestFit="1" customWidth="1"/>
    <col min="51" max="51" width="10.140625" style="2" bestFit="1" customWidth="1"/>
    <col min="52" max="16384" width="9.140625" style="2"/>
  </cols>
  <sheetData>
    <row r="1" spans="1:51" ht="6.75" customHeight="1" x14ac:dyDescent="0.25">
      <c r="A1" s="10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8"/>
      <c r="AN1"/>
      <c r="AR1"/>
    </row>
    <row r="2" spans="1:51" ht="33" customHeight="1" x14ac:dyDescent="0.25">
      <c r="A2" s="11"/>
      <c r="B2" s="40" t="s">
        <v>19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2"/>
      <c r="AM2" s="12"/>
      <c r="AN2"/>
      <c r="AR2"/>
    </row>
    <row r="3" spans="1:51" ht="15.95" customHeight="1" x14ac:dyDescent="0.25">
      <c r="A3" s="1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12"/>
      <c r="AN3"/>
      <c r="AR3"/>
    </row>
    <row r="4" spans="1:51" ht="15.95" customHeight="1" x14ac:dyDescent="0.25">
      <c r="A4" s="11"/>
      <c r="B4" s="43" t="s">
        <v>40</v>
      </c>
      <c r="C4" s="43"/>
      <c r="D4" s="43"/>
      <c r="E4" s="43"/>
      <c r="F4" s="43"/>
      <c r="G4" s="13" t="s">
        <v>6</v>
      </c>
      <c r="H4" s="46" t="s">
        <v>42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3"/>
      <c r="AA4" s="3"/>
      <c r="AB4" s="3"/>
      <c r="AC4" s="9" t="s">
        <v>0</v>
      </c>
      <c r="AD4" s="1" t="s">
        <v>6</v>
      </c>
      <c r="AE4" s="44" t="s">
        <v>41</v>
      </c>
      <c r="AF4" s="44"/>
      <c r="AG4" s="44"/>
      <c r="AH4" s="44"/>
      <c r="AI4" s="44"/>
      <c r="AJ4" s="44"/>
      <c r="AK4" s="44"/>
      <c r="AL4" s="44"/>
      <c r="AM4" s="12"/>
      <c r="AN4"/>
      <c r="AR4"/>
    </row>
    <row r="5" spans="1:51" ht="9.75" customHeight="1" x14ac:dyDescent="0.25">
      <c r="A5" s="11"/>
      <c r="B5" s="16"/>
      <c r="C5" s="16"/>
      <c r="D5" s="16"/>
      <c r="E5" s="16"/>
      <c r="F5" s="16"/>
      <c r="G5" s="1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"/>
      <c r="AA5" s="3"/>
      <c r="AB5" s="3"/>
      <c r="AC5" s="9"/>
      <c r="AD5" s="1"/>
      <c r="AE5" s="17"/>
      <c r="AF5" s="17"/>
      <c r="AG5" s="17"/>
      <c r="AH5" s="17"/>
      <c r="AI5" s="17"/>
      <c r="AJ5" s="17"/>
      <c r="AK5" s="17"/>
      <c r="AL5" s="17"/>
      <c r="AM5" s="12"/>
      <c r="AN5"/>
      <c r="AR5"/>
    </row>
    <row r="6" spans="1:51" ht="15.95" customHeight="1" x14ac:dyDescent="0.25">
      <c r="A6" s="11"/>
      <c r="B6" s="43" t="s">
        <v>12</v>
      </c>
      <c r="C6" s="43"/>
      <c r="D6" s="43"/>
      <c r="E6" s="43"/>
      <c r="F6" s="43"/>
      <c r="G6" s="13" t="s">
        <v>6</v>
      </c>
      <c r="H6" s="46" t="s">
        <v>18</v>
      </c>
      <c r="I6" s="46"/>
      <c r="J6" s="46"/>
      <c r="K6" s="46"/>
      <c r="L6" s="46"/>
      <c r="M6" s="46"/>
      <c r="N6" s="46"/>
      <c r="O6" s="43" t="s">
        <v>13</v>
      </c>
      <c r="P6" s="43"/>
      <c r="Q6" s="47" t="s">
        <v>43</v>
      </c>
      <c r="R6" s="47"/>
      <c r="S6" s="47"/>
      <c r="T6" s="47"/>
      <c r="U6" s="47"/>
      <c r="V6" s="47"/>
      <c r="W6" s="47"/>
      <c r="X6" s="47"/>
      <c r="Y6" s="47"/>
      <c r="Z6" s="3"/>
      <c r="AA6" s="3"/>
      <c r="AB6" s="3"/>
      <c r="AC6" s="9" t="s">
        <v>1</v>
      </c>
      <c r="AD6" s="1" t="s">
        <v>6</v>
      </c>
      <c r="AE6" s="45">
        <v>42333</v>
      </c>
      <c r="AF6" s="45"/>
      <c r="AG6" s="45"/>
      <c r="AH6" s="45"/>
      <c r="AI6" s="45"/>
      <c r="AJ6" s="45"/>
      <c r="AK6" s="45"/>
      <c r="AL6" s="45"/>
      <c r="AM6" s="12"/>
      <c r="AN6"/>
      <c r="AR6"/>
      <c r="AU6" s="21"/>
      <c r="AV6" s="21" t="s">
        <v>33</v>
      </c>
      <c r="AW6" s="21" t="s">
        <v>30</v>
      </c>
      <c r="AX6" s="21" t="s">
        <v>31</v>
      </c>
      <c r="AY6" s="21" t="s">
        <v>32</v>
      </c>
    </row>
    <row r="7" spans="1:51" ht="18" customHeight="1" x14ac:dyDescent="0.25">
      <c r="A7" s="1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12"/>
      <c r="AN7"/>
      <c r="AO7"/>
      <c r="AP7"/>
      <c r="AQ7"/>
      <c r="AR7" t="s">
        <v>29</v>
      </c>
      <c r="AS7" s="19">
        <v>612.89499999999998</v>
      </c>
      <c r="AU7" s="23" t="s">
        <v>10</v>
      </c>
      <c r="AV7" s="21">
        <v>18</v>
      </c>
      <c r="AW7" s="21">
        <v>13</v>
      </c>
      <c r="AX7" s="21">
        <v>11</v>
      </c>
      <c r="AY7" s="21">
        <v>10</v>
      </c>
    </row>
    <row r="8" spans="1:51" s="3" customFormat="1" ht="18" customHeight="1" x14ac:dyDescent="0.25">
      <c r="A8" s="11"/>
      <c r="B8" s="29" t="s">
        <v>7</v>
      </c>
      <c r="C8" s="29"/>
      <c r="D8" s="29"/>
      <c r="E8" s="29"/>
      <c r="F8" s="30" t="s">
        <v>27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4" t="s">
        <v>23</v>
      </c>
      <c r="S8" s="34"/>
      <c r="T8" s="34"/>
      <c r="U8" s="34"/>
      <c r="V8" s="34"/>
      <c r="W8" s="34"/>
      <c r="X8" s="34" t="s">
        <v>20</v>
      </c>
      <c r="Y8" s="34"/>
      <c r="Z8" s="34"/>
      <c r="AA8" s="34"/>
      <c r="AB8" s="34"/>
      <c r="AC8" s="34"/>
      <c r="AD8"/>
      <c r="AE8" s="35" t="s">
        <v>24</v>
      </c>
      <c r="AF8" s="35"/>
      <c r="AG8" s="35"/>
      <c r="AH8" s="35"/>
      <c r="AI8" s="35"/>
      <c r="AJ8" s="35"/>
      <c r="AK8" s="35"/>
      <c r="AL8" s="35"/>
      <c r="AM8" s="12"/>
      <c r="AN8"/>
      <c r="AO8" s="3" t="s">
        <v>14</v>
      </c>
      <c r="AP8" s="14">
        <v>612.89499999999998</v>
      </c>
      <c r="AQ8" s="14"/>
      <c r="AR8" t="s">
        <v>30</v>
      </c>
      <c r="AS8" s="20">
        <v>450</v>
      </c>
      <c r="AU8" s="24" t="s">
        <v>37</v>
      </c>
      <c r="AV8" s="22">
        <v>16</v>
      </c>
      <c r="AW8" s="22">
        <v>7</v>
      </c>
      <c r="AX8" s="22">
        <v>6</v>
      </c>
      <c r="AY8" s="22">
        <v>5</v>
      </c>
    </row>
    <row r="9" spans="1:51" s="3" customFormat="1" ht="18" customHeight="1" x14ac:dyDescent="0.25">
      <c r="A9" s="11"/>
      <c r="B9" s="29"/>
      <c r="C9" s="29"/>
      <c r="D9" s="29"/>
      <c r="E9" s="29"/>
      <c r="F9" s="29" t="s">
        <v>9</v>
      </c>
      <c r="G9" s="29"/>
      <c r="H9" s="36" t="s">
        <v>3</v>
      </c>
      <c r="I9" s="29"/>
      <c r="J9" s="36" t="s">
        <v>4</v>
      </c>
      <c r="K9" s="29"/>
      <c r="L9" s="29" t="s">
        <v>2</v>
      </c>
      <c r="M9" s="29"/>
      <c r="N9" s="29" t="s">
        <v>8</v>
      </c>
      <c r="O9" s="29"/>
      <c r="P9" s="37" t="s">
        <v>39</v>
      </c>
      <c r="Q9" s="29"/>
      <c r="R9" s="29" t="s">
        <v>13</v>
      </c>
      <c r="S9" s="29"/>
      <c r="T9" s="29" t="s">
        <v>12</v>
      </c>
      <c r="U9" s="29"/>
      <c r="V9" s="29" t="s">
        <v>16</v>
      </c>
      <c r="W9" s="29"/>
      <c r="X9" s="29" t="s">
        <v>13</v>
      </c>
      <c r="Y9" s="29"/>
      <c r="Z9" s="29" t="s">
        <v>12</v>
      </c>
      <c r="AA9" s="29"/>
      <c r="AB9" s="29" t="s">
        <v>16</v>
      </c>
      <c r="AC9" s="29"/>
      <c r="AD9"/>
      <c r="AE9" s="35"/>
      <c r="AF9" s="35"/>
      <c r="AG9" s="35"/>
      <c r="AH9" s="35"/>
      <c r="AI9" s="35"/>
      <c r="AJ9" s="35"/>
      <c r="AK9" s="35"/>
      <c r="AL9" s="35"/>
      <c r="AM9" s="12"/>
      <c r="AO9" s="3" t="s">
        <v>5</v>
      </c>
      <c r="AP9" s="14">
        <v>520</v>
      </c>
      <c r="AQ9" s="14"/>
      <c r="AR9" s="3" t="s">
        <v>31</v>
      </c>
      <c r="AS9" s="20">
        <v>432</v>
      </c>
      <c r="AU9" s="24" t="s">
        <v>44</v>
      </c>
      <c r="AV9" s="22">
        <v>19</v>
      </c>
      <c r="AW9" s="22">
        <v>17</v>
      </c>
      <c r="AX9" s="22">
        <v>15</v>
      </c>
      <c r="AY9" s="22">
        <v>12</v>
      </c>
    </row>
    <row r="10" spans="1:51" s="3" customFormat="1" ht="18" customHeight="1" x14ac:dyDescent="0.25">
      <c r="A10" s="11"/>
      <c r="B10" s="26" t="s">
        <v>10</v>
      </c>
      <c r="C10" s="26"/>
      <c r="D10" s="26"/>
      <c r="E10" s="27"/>
      <c r="F10" s="28">
        <v>40</v>
      </c>
      <c r="G10" s="28"/>
      <c r="H10" s="25">
        <v>35</v>
      </c>
      <c r="I10" s="25"/>
      <c r="J10" s="25">
        <v>5</v>
      </c>
      <c r="K10" s="25"/>
      <c r="L10" s="25">
        <v>0</v>
      </c>
      <c r="M10" s="25"/>
      <c r="N10" s="25">
        <f>H10-(J10/4)</f>
        <v>33.75</v>
      </c>
      <c r="O10" s="25"/>
      <c r="P10" s="33">
        <f>N10/F10</f>
        <v>0.84375</v>
      </c>
      <c r="Q10" s="33"/>
      <c r="R10" s="25">
        <v>13</v>
      </c>
      <c r="S10" s="25"/>
      <c r="T10" s="25">
        <v>11</v>
      </c>
      <c r="U10" s="25"/>
      <c r="V10" s="25">
        <v>10</v>
      </c>
      <c r="W10" s="25"/>
      <c r="X10" s="38">
        <v>15</v>
      </c>
      <c r="Y10" s="38"/>
      <c r="Z10" s="38">
        <v>15</v>
      </c>
      <c r="AA10" s="38"/>
      <c r="AB10" s="38">
        <v>15</v>
      </c>
      <c r="AC10" s="38"/>
      <c r="AD10"/>
      <c r="AE10" s="39">
        <v>365.21300000000002</v>
      </c>
      <c r="AF10" s="39"/>
      <c r="AG10" s="39"/>
      <c r="AH10" s="39"/>
      <c r="AI10" s="39"/>
      <c r="AJ10" s="39"/>
      <c r="AK10" s="39"/>
      <c r="AL10" s="39"/>
      <c r="AM10" s="12"/>
      <c r="AO10" s="3" t="s">
        <v>15</v>
      </c>
      <c r="AP10" s="14">
        <v>482</v>
      </c>
      <c r="AQ10" s="14"/>
      <c r="AR10" s="3" t="s">
        <v>32</v>
      </c>
      <c r="AS10" s="20">
        <v>398</v>
      </c>
      <c r="AU10" s="24" t="s">
        <v>36</v>
      </c>
      <c r="AV10" s="22">
        <v>18</v>
      </c>
      <c r="AW10" s="22">
        <v>13</v>
      </c>
      <c r="AX10" s="22">
        <v>11</v>
      </c>
      <c r="AY10" s="22">
        <v>9</v>
      </c>
    </row>
    <row r="11" spans="1:51" s="3" customFormat="1" ht="18" customHeight="1" x14ac:dyDescent="0.25">
      <c r="A11" s="11"/>
      <c r="B11" s="26" t="s">
        <v>37</v>
      </c>
      <c r="C11" s="26"/>
      <c r="D11" s="26"/>
      <c r="E11" s="27"/>
      <c r="F11" s="28">
        <v>40</v>
      </c>
      <c r="G11" s="28"/>
      <c r="H11" s="25">
        <v>29</v>
      </c>
      <c r="I11" s="25"/>
      <c r="J11" s="25">
        <v>5</v>
      </c>
      <c r="K11" s="25"/>
      <c r="L11" s="25">
        <v>0</v>
      </c>
      <c r="M11" s="25"/>
      <c r="N11" s="25">
        <f t="shared" ref="N11:N13" si="0">H11-(J11/4)</f>
        <v>27.75</v>
      </c>
      <c r="O11" s="25"/>
      <c r="P11" s="33">
        <f t="shared" ref="P11:P13" si="1">N11/F11</f>
        <v>0.69374999999999998</v>
      </c>
      <c r="Q11" s="33"/>
      <c r="R11" s="25">
        <v>7</v>
      </c>
      <c r="S11" s="25"/>
      <c r="T11" s="25">
        <v>6</v>
      </c>
      <c r="U11" s="25"/>
      <c r="V11" s="25">
        <v>5</v>
      </c>
      <c r="W11" s="25"/>
      <c r="X11" s="38">
        <v>10</v>
      </c>
      <c r="Y11" s="38"/>
      <c r="Z11" s="38">
        <v>10</v>
      </c>
      <c r="AA11" s="38"/>
      <c r="AB11" s="38">
        <v>61</v>
      </c>
      <c r="AC11" s="38"/>
      <c r="AD11"/>
      <c r="AE11" s="39"/>
      <c r="AF11" s="39"/>
      <c r="AG11" s="39"/>
      <c r="AH11" s="39"/>
      <c r="AI11" s="39"/>
      <c r="AJ11" s="39"/>
      <c r="AK11" s="39"/>
      <c r="AL11" s="39"/>
      <c r="AM11" s="12"/>
      <c r="AO11" s="3" t="s">
        <v>13</v>
      </c>
      <c r="AP11" s="14">
        <v>450</v>
      </c>
      <c r="AQ11" s="14"/>
      <c r="AU11" s="24"/>
      <c r="AV11" s="22"/>
      <c r="AW11" s="22"/>
      <c r="AX11" s="22"/>
      <c r="AY11" s="22"/>
    </row>
    <row r="12" spans="1:51" s="3" customFormat="1" ht="18" customHeight="1" x14ac:dyDescent="0.25">
      <c r="A12" s="11"/>
      <c r="B12" s="26" t="s">
        <v>38</v>
      </c>
      <c r="C12" s="26"/>
      <c r="D12" s="26"/>
      <c r="E12" s="27"/>
      <c r="F12" s="28">
        <v>40</v>
      </c>
      <c r="G12" s="28"/>
      <c r="H12" s="25">
        <v>27</v>
      </c>
      <c r="I12" s="25"/>
      <c r="J12" s="25">
        <v>5</v>
      </c>
      <c r="K12" s="25"/>
      <c r="L12" s="25">
        <v>0</v>
      </c>
      <c r="M12" s="25"/>
      <c r="N12" s="25">
        <f t="shared" si="0"/>
        <v>25.75</v>
      </c>
      <c r="O12" s="25"/>
      <c r="P12" s="33">
        <f t="shared" si="1"/>
        <v>0.64375000000000004</v>
      </c>
      <c r="Q12" s="33"/>
      <c r="R12" s="25">
        <v>17</v>
      </c>
      <c r="S12" s="25"/>
      <c r="T12" s="25">
        <v>15</v>
      </c>
      <c r="U12" s="25"/>
      <c r="V12" s="25">
        <v>12</v>
      </c>
      <c r="W12" s="25"/>
      <c r="X12" s="38">
        <v>9</v>
      </c>
      <c r="Y12" s="38"/>
      <c r="Z12" s="38">
        <v>6</v>
      </c>
      <c r="AA12" s="38"/>
      <c r="AB12" s="38">
        <v>15</v>
      </c>
      <c r="AC12" s="38"/>
      <c r="AD12"/>
      <c r="AE12"/>
      <c r="AF12"/>
      <c r="AG12"/>
      <c r="AH12"/>
      <c r="AI12"/>
      <c r="AJ12"/>
      <c r="AK12"/>
      <c r="AL12"/>
      <c r="AM12" s="12"/>
      <c r="AO12" s="3" t="s">
        <v>12</v>
      </c>
      <c r="AP12" s="14">
        <v>432</v>
      </c>
      <c r="AQ12" s="14"/>
      <c r="AU12" s="24"/>
      <c r="AV12" s="22"/>
      <c r="AW12" s="22"/>
      <c r="AX12" s="22"/>
      <c r="AY12" s="22"/>
    </row>
    <row r="13" spans="1:51" s="3" customFormat="1" ht="18" customHeight="1" x14ac:dyDescent="0.25">
      <c r="A13" s="11"/>
      <c r="B13" s="26" t="s">
        <v>36</v>
      </c>
      <c r="C13" s="26"/>
      <c r="D13" s="26"/>
      <c r="E13" s="27"/>
      <c r="F13" s="28">
        <v>40</v>
      </c>
      <c r="G13" s="28"/>
      <c r="H13" s="25">
        <v>31</v>
      </c>
      <c r="I13" s="25"/>
      <c r="J13" s="25">
        <v>5</v>
      </c>
      <c r="K13" s="25"/>
      <c r="L13" s="25">
        <v>0</v>
      </c>
      <c r="M13" s="25"/>
      <c r="N13" s="25">
        <f t="shared" si="0"/>
        <v>29.75</v>
      </c>
      <c r="O13" s="25"/>
      <c r="P13" s="33">
        <f t="shared" si="1"/>
        <v>0.74375000000000002</v>
      </c>
      <c r="Q13" s="33"/>
      <c r="R13" s="25">
        <v>13</v>
      </c>
      <c r="S13" s="25"/>
      <c r="T13" s="25">
        <v>11</v>
      </c>
      <c r="U13" s="25"/>
      <c r="V13" s="25">
        <v>9</v>
      </c>
      <c r="W13" s="25"/>
      <c r="X13" s="38">
        <v>20</v>
      </c>
      <c r="Y13" s="38"/>
      <c r="Z13" s="38">
        <v>21</v>
      </c>
      <c r="AA13" s="38"/>
      <c r="AB13" s="38">
        <v>78</v>
      </c>
      <c r="AC13" s="38"/>
      <c r="AD13"/>
      <c r="AE13" s="53" t="s">
        <v>11</v>
      </c>
      <c r="AF13" s="53"/>
      <c r="AG13" s="53"/>
      <c r="AH13" s="53"/>
      <c r="AI13" s="53"/>
      <c r="AJ13" s="53"/>
      <c r="AK13" s="53"/>
      <c r="AL13" s="53"/>
      <c r="AM13" s="12"/>
      <c r="AO13" s="3" t="s">
        <v>16</v>
      </c>
      <c r="AP13" s="14">
        <v>398</v>
      </c>
      <c r="AQ13" s="14"/>
      <c r="AS13"/>
      <c r="AT13"/>
      <c r="AU13"/>
    </row>
    <row r="14" spans="1:51" s="3" customFormat="1" ht="18" customHeight="1" x14ac:dyDescent="0.25">
      <c r="A14" s="11"/>
      <c r="B14" s="26"/>
      <c r="C14" s="26"/>
      <c r="D14" s="26"/>
      <c r="E14" s="27"/>
      <c r="F14" s="28"/>
      <c r="G14" s="28"/>
      <c r="H14" s="25"/>
      <c r="I14" s="25"/>
      <c r="J14" s="25"/>
      <c r="K14" s="25"/>
      <c r="L14" s="25"/>
      <c r="M14" s="25"/>
      <c r="N14" s="25"/>
      <c r="O14" s="25"/>
      <c r="P14" s="32"/>
      <c r="Q14" s="32"/>
      <c r="R14" s="25"/>
      <c r="S14" s="25"/>
      <c r="T14" s="25"/>
      <c r="U14" s="25"/>
      <c r="V14" s="25"/>
      <c r="W14" s="25"/>
      <c r="X14" s="38"/>
      <c r="Y14" s="38"/>
      <c r="Z14" s="38"/>
      <c r="AA14" s="38"/>
      <c r="AB14" s="38"/>
      <c r="AC14" s="38"/>
      <c r="AD14"/>
      <c r="AE14" s="53"/>
      <c r="AF14" s="53"/>
      <c r="AG14" s="53"/>
      <c r="AH14" s="53"/>
      <c r="AI14" s="53"/>
      <c r="AJ14" s="53"/>
      <c r="AK14" s="53"/>
      <c r="AL14" s="53"/>
      <c r="AM14" s="12"/>
    </row>
    <row r="15" spans="1:51" s="3" customFormat="1" ht="18" customHeight="1" x14ac:dyDescent="0.25">
      <c r="A15" s="11"/>
      <c r="B15" s="26"/>
      <c r="C15" s="26"/>
      <c r="D15" s="26"/>
      <c r="E15" s="27"/>
      <c r="F15" s="28"/>
      <c r="G15" s="28"/>
      <c r="H15" s="25"/>
      <c r="I15" s="25"/>
      <c r="J15" s="25"/>
      <c r="K15" s="25"/>
      <c r="L15" s="25"/>
      <c r="M15" s="25"/>
      <c r="N15" s="25"/>
      <c r="O15" s="25"/>
      <c r="P15" s="33"/>
      <c r="Q15" s="33"/>
      <c r="R15" s="25"/>
      <c r="S15" s="25"/>
      <c r="T15" s="25"/>
      <c r="U15" s="25"/>
      <c r="V15" s="25"/>
      <c r="W15" s="25"/>
      <c r="X15" s="38"/>
      <c r="Y15" s="38"/>
      <c r="Z15" s="38"/>
      <c r="AA15" s="38"/>
      <c r="AB15" s="38"/>
      <c r="AC15" s="38"/>
      <c r="AD15"/>
      <c r="AE15" s="54">
        <f>N16/F16</f>
        <v>0.73124999999999996</v>
      </c>
      <c r="AF15" s="54"/>
      <c r="AG15" s="54"/>
      <c r="AH15" s="54"/>
      <c r="AI15" s="54"/>
      <c r="AJ15" s="54"/>
      <c r="AK15" s="54"/>
      <c r="AL15" s="54"/>
      <c r="AM15" s="12"/>
    </row>
    <row r="16" spans="1:51" s="3" customFormat="1" ht="18" customHeight="1" x14ac:dyDescent="0.25">
      <c r="A16" s="11"/>
      <c r="B16" s="56" t="s">
        <v>22</v>
      </c>
      <c r="C16" s="56"/>
      <c r="D16" s="56"/>
      <c r="E16" s="57"/>
      <c r="F16" s="48">
        <f>SUM(F10:G15)</f>
        <v>160</v>
      </c>
      <c r="G16" s="48"/>
      <c r="H16" s="58">
        <f>SUM(H10:I15)</f>
        <v>122</v>
      </c>
      <c r="I16" s="58"/>
      <c r="J16" s="59">
        <f t="shared" ref="J16" si="2">SUM(J10:K15)</f>
        <v>20</v>
      </c>
      <c r="K16" s="59"/>
      <c r="L16" s="59">
        <f t="shared" ref="L16" si="3">SUM(L10:M15)</f>
        <v>0</v>
      </c>
      <c r="M16" s="59"/>
      <c r="N16" s="55">
        <f t="shared" ref="N16" si="4">SUM(N10:O15)</f>
        <v>117</v>
      </c>
      <c r="O16" s="55"/>
      <c r="P16" s="60">
        <f>AVERAGE(P10:Q15)</f>
        <v>0.73125000000000007</v>
      </c>
      <c r="Q16" s="60"/>
      <c r="R16" s="55">
        <f>AVERAGE(R10:S15)</f>
        <v>12.5</v>
      </c>
      <c r="S16" s="55"/>
      <c r="T16" s="55">
        <f t="shared" ref="T16" si="5">AVERAGE(T10:U15)</f>
        <v>10.75</v>
      </c>
      <c r="U16" s="55"/>
      <c r="V16" s="55">
        <f t="shared" ref="V16" si="6">AVERAGE(V10:W15)</f>
        <v>9</v>
      </c>
      <c r="W16" s="55"/>
      <c r="X16" s="52">
        <f>AVERAGE(X10:Y15)</f>
        <v>13.5</v>
      </c>
      <c r="Y16" s="52"/>
      <c r="Z16" s="52">
        <f t="shared" ref="Z16" si="7">AVERAGE(Z10:AA15)</f>
        <v>13</v>
      </c>
      <c r="AA16" s="52"/>
      <c r="AB16" s="52">
        <f t="shared" ref="AB16" si="8">AVERAGE(AB10:AC15)</f>
        <v>42.25</v>
      </c>
      <c r="AC16" s="52"/>
      <c r="AD16"/>
      <c r="AE16" s="54"/>
      <c r="AF16" s="54"/>
      <c r="AG16" s="54"/>
      <c r="AH16" s="54"/>
      <c r="AI16" s="54"/>
      <c r="AJ16" s="54"/>
      <c r="AK16" s="54"/>
      <c r="AL16" s="54"/>
      <c r="AM16" s="12"/>
    </row>
    <row r="17" spans="1:43" ht="15.95" customHeight="1" x14ac:dyDescent="0.25">
      <c r="A17" s="1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12"/>
      <c r="AP17"/>
      <c r="AQ17"/>
    </row>
    <row r="18" spans="1:43" ht="14.25" customHeight="1" x14ac:dyDescent="0.25">
      <c r="A18" s="1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12"/>
      <c r="AP18"/>
      <c r="AQ18"/>
    </row>
    <row r="19" spans="1:43" ht="15.95" customHeight="1" x14ac:dyDescent="0.25">
      <c r="A19" s="11"/>
      <c r="B19" s="50" t="s">
        <v>34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12"/>
      <c r="AP19"/>
      <c r="AQ19"/>
    </row>
    <row r="20" spans="1:43" ht="18" customHeight="1" x14ac:dyDescent="0.25">
      <c r="A20" s="1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12"/>
      <c r="AP20"/>
      <c r="AQ20"/>
    </row>
    <row r="21" spans="1:43" ht="18" customHeight="1" x14ac:dyDescent="0.25">
      <c r="A21" s="11"/>
      <c r="B21" s="48" t="s">
        <v>17</v>
      </c>
      <c r="C21" s="48"/>
      <c r="D21" s="48"/>
      <c r="E21" s="48"/>
      <c r="F21" s="48"/>
      <c r="G21" s="48" t="s">
        <v>13</v>
      </c>
      <c r="H21" s="48"/>
      <c r="I21" s="48"/>
      <c r="J21" s="48" t="s">
        <v>12</v>
      </c>
      <c r="K21" s="48"/>
      <c r="L21" s="48"/>
      <c r="M21" s="48" t="s">
        <v>16</v>
      </c>
      <c r="N21" s="48"/>
      <c r="O21" s="48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12"/>
      <c r="AP21"/>
      <c r="AQ21"/>
    </row>
    <row r="22" spans="1:43" ht="18" customHeight="1" x14ac:dyDescent="0.25">
      <c r="A22" s="11"/>
      <c r="B22" s="26" t="s">
        <v>28</v>
      </c>
      <c r="C22" s="26"/>
      <c r="D22" s="26"/>
      <c r="E22" s="26"/>
      <c r="F22" s="26"/>
      <c r="G22" s="49">
        <v>2</v>
      </c>
      <c r="H22" s="49"/>
      <c r="I22" s="49"/>
      <c r="J22" s="49">
        <v>14</v>
      </c>
      <c r="K22" s="49"/>
      <c r="L22" s="49"/>
      <c r="M22" s="49">
        <v>65</v>
      </c>
      <c r="N22" s="49"/>
      <c r="O22" s="49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12"/>
      <c r="AP22"/>
      <c r="AQ22"/>
    </row>
    <row r="23" spans="1:43" ht="18" customHeight="1" x14ac:dyDescent="0.25">
      <c r="A23" s="11"/>
      <c r="B23" s="26" t="s">
        <v>25</v>
      </c>
      <c r="C23" s="26"/>
      <c r="D23" s="26"/>
      <c r="E23" s="26"/>
      <c r="F23" s="26"/>
      <c r="G23" s="49">
        <v>150</v>
      </c>
      <c r="H23" s="49"/>
      <c r="I23" s="49"/>
      <c r="J23" s="49">
        <v>500</v>
      </c>
      <c r="K23" s="49"/>
      <c r="L23" s="49"/>
      <c r="M23" s="49">
        <v>2325</v>
      </c>
      <c r="N23" s="49"/>
      <c r="O23" s="49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12"/>
      <c r="AP23"/>
      <c r="AQ23"/>
    </row>
    <row r="24" spans="1:43" ht="18" customHeight="1" x14ac:dyDescent="0.25">
      <c r="A24" s="11"/>
      <c r="B24" s="26" t="s">
        <v>21</v>
      </c>
      <c r="C24" s="26"/>
      <c r="D24" s="26"/>
      <c r="E24" s="26"/>
      <c r="F24" s="26"/>
      <c r="G24" s="62">
        <v>312.452</v>
      </c>
      <c r="H24" s="62"/>
      <c r="I24" s="62"/>
      <c r="J24" s="62">
        <v>300.45600000000002</v>
      </c>
      <c r="K24" s="62"/>
      <c r="L24" s="62"/>
      <c r="M24" s="62">
        <v>295.68700000000001</v>
      </c>
      <c r="N24" s="62"/>
      <c r="O24" s="6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12"/>
      <c r="AP24"/>
      <c r="AQ24"/>
    </row>
    <row r="25" spans="1:43" ht="18" customHeight="1" x14ac:dyDescent="0.25">
      <c r="A25" s="11"/>
      <c r="B25" s="63" t="s">
        <v>26</v>
      </c>
      <c r="C25" s="63"/>
      <c r="D25" s="63"/>
      <c r="E25" s="63"/>
      <c r="F25" s="63"/>
      <c r="G25" s="64">
        <v>2</v>
      </c>
      <c r="H25" s="64"/>
      <c r="I25" s="64"/>
      <c r="J25" s="64">
        <v>4</v>
      </c>
      <c r="K25" s="64"/>
      <c r="L25" s="64"/>
      <c r="M25" s="64">
        <v>29</v>
      </c>
      <c r="N25" s="64"/>
      <c r="O25" s="64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12"/>
      <c r="AP25"/>
      <c r="AQ25"/>
    </row>
    <row r="26" spans="1:43" ht="18" customHeight="1" x14ac:dyDescent="0.25">
      <c r="A26" s="11"/>
      <c r="B26" s="63"/>
      <c r="C26" s="63"/>
      <c r="D26" s="63"/>
      <c r="E26" s="63"/>
      <c r="F26" s="63"/>
      <c r="G26" s="64"/>
      <c r="H26" s="64"/>
      <c r="I26" s="64"/>
      <c r="J26" s="64"/>
      <c r="K26" s="64"/>
      <c r="L26" s="64"/>
      <c r="M26" s="64"/>
      <c r="N26" s="64"/>
      <c r="O26" s="64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12"/>
      <c r="AP26"/>
      <c r="AQ26"/>
    </row>
    <row r="27" spans="1:43" ht="25.5" customHeight="1" x14ac:dyDescent="0.25">
      <c r="A27" s="1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12"/>
      <c r="AP27"/>
      <c r="AQ27"/>
    </row>
    <row r="28" spans="1:43" ht="15" customHeight="1" x14ac:dyDescent="0.25">
      <c r="A28" s="11"/>
      <c r="B28" s="61" t="s">
        <v>35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12"/>
      <c r="AP28"/>
      <c r="AQ28"/>
    </row>
    <row r="29" spans="1:43" ht="15" customHeight="1" x14ac:dyDescent="0.25">
      <c r="A29" s="1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12"/>
      <c r="AP29"/>
      <c r="AQ29"/>
    </row>
    <row r="30" spans="1:43" ht="9.75" customHeight="1" x14ac:dyDescent="0.2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12"/>
      <c r="AP30"/>
      <c r="AQ30"/>
    </row>
    <row r="31" spans="1:43" ht="15" customHeight="1" x14ac:dyDescent="0.25">
      <c r="A31" s="1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12"/>
      <c r="AP31"/>
      <c r="AQ31"/>
    </row>
    <row r="32" spans="1:43" ht="15" customHeight="1" x14ac:dyDescent="0.25">
      <c r="A32" s="1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12"/>
      <c r="AP32"/>
      <c r="AQ32"/>
    </row>
    <row r="33" spans="1:43" ht="15" customHeight="1" x14ac:dyDescent="0.25">
      <c r="A33" s="1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12"/>
      <c r="AP33"/>
      <c r="AQ33"/>
    </row>
    <row r="34" spans="1:43" ht="15" customHeight="1" x14ac:dyDescent="0.25">
      <c r="A34" s="1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12"/>
      <c r="AP34"/>
      <c r="AQ34"/>
    </row>
    <row r="35" spans="1:43" ht="15" customHeight="1" x14ac:dyDescent="0.25">
      <c r="A35" s="1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12"/>
      <c r="AP35"/>
      <c r="AQ35"/>
    </row>
    <row r="36" spans="1:43" ht="15" customHeight="1" x14ac:dyDescent="0.25">
      <c r="A36" s="1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12"/>
      <c r="AP36"/>
      <c r="AQ36"/>
    </row>
    <row r="37" spans="1:43" ht="15" customHeight="1" x14ac:dyDescent="0.25">
      <c r="A37" s="1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12"/>
      <c r="AP37"/>
      <c r="AQ37"/>
    </row>
    <row r="38" spans="1:43" ht="15" customHeight="1" x14ac:dyDescent="0.25">
      <c r="A38" s="1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12"/>
      <c r="AP38"/>
      <c r="AQ38"/>
    </row>
    <row r="39" spans="1:43" ht="15" customHeight="1" x14ac:dyDescent="0.25">
      <c r="A39" s="1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12"/>
      <c r="AP39"/>
      <c r="AQ39"/>
    </row>
    <row r="40" spans="1:43" ht="15" customHeight="1" x14ac:dyDescent="0.25">
      <c r="A40" s="1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12"/>
      <c r="AP40"/>
      <c r="AQ40"/>
    </row>
    <row r="41" spans="1:43" ht="15" customHeight="1" x14ac:dyDescent="0.25">
      <c r="A41" s="1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12"/>
      <c r="AP41"/>
      <c r="AQ41"/>
    </row>
    <row r="42" spans="1:43" ht="15" customHeight="1" x14ac:dyDescent="0.25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12"/>
      <c r="AP42"/>
      <c r="AQ42"/>
    </row>
    <row r="43" spans="1:43" ht="15" customHeight="1" x14ac:dyDescent="0.25">
      <c r="A43" s="1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12"/>
      <c r="AP43"/>
      <c r="AQ43"/>
    </row>
    <row r="44" spans="1:43" ht="3.75" customHeight="1" x14ac:dyDescent="0.25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12"/>
      <c r="AP44"/>
      <c r="AQ44"/>
    </row>
    <row r="45" spans="1:43" ht="15" customHeight="1" x14ac:dyDescent="0.25">
      <c r="A45" s="1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12"/>
      <c r="AP45"/>
      <c r="AQ45"/>
    </row>
    <row r="46" spans="1:43" ht="15" customHeight="1" x14ac:dyDescent="0.25">
      <c r="A46" s="1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12"/>
      <c r="AP46"/>
      <c r="AQ46"/>
    </row>
    <row r="47" spans="1:43" ht="15" customHeight="1" x14ac:dyDescent="0.25">
      <c r="A47" s="1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12"/>
      <c r="AP47"/>
      <c r="AQ47"/>
    </row>
    <row r="48" spans="1:43" ht="15" customHeight="1" x14ac:dyDescent="0.25">
      <c r="A48" s="1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12"/>
      <c r="AP48"/>
      <c r="AQ48"/>
    </row>
    <row r="49" spans="1:43" ht="15" customHeight="1" x14ac:dyDescent="0.25">
      <c r="A49" s="1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12"/>
      <c r="AP49"/>
      <c r="AQ49"/>
    </row>
    <row r="50" spans="1:43" ht="15" customHeight="1" x14ac:dyDescent="0.25">
      <c r="A50" s="1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12"/>
      <c r="AP50"/>
      <c r="AQ50"/>
    </row>
    <row r="51" spans="1:43" ht="15" customHeight="1" x14ac:dyDescent="0.25">
      <c r="A51" s="1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12"/>
      <c r="AP51"/>
      <c r="AQ51"/>
    </row>
    <row r="52" spans="1:43" ht="15" customHeight="1" x14ac:dyDescent="0.25">
      <c r="A52" s="1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12"/>
      <c r="AP52"/>
      <c r="AQ52"/>
    </row>
    <row r="53" spans="1:43" ht="15" customHeight="1" x14ac:dyDescent="0.25">
      <c r="A53" s="1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12"/>
      <c r="AP53"/>
      <c r="AQ53"/>
    </row>
    <row r="54" spans="1:43" ht="15" customHeight="1" x14ac:dyDescent="0.25">
      <c r="A54" s="1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12"/>
      <c r="AP54"/>
      <c r="AQ54"/>
    </row>
    <row r="55" spans="1:43" ht="15" customHeight="1" x14ac:dyDescent="0.25">
      <c r="A55" s="1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12"/>
      <c r="AP55"/>
      <c r="AQ55"/>
    </row>
    <row r="56" spans="1:43" ht="15" customHeight="1" x14ac:dyDescent="0.25">
      <c r="A56" s="1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12"/>
      <c r="AP56"/>
      <c r="AQ56"/>
    </row>
    <row r="57" spans="1:43" ht="15" customHeight="1" x14ac:dyDescent="0.25">
      <c r="A57" s="1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12"/>
      <c r="AP57"/>
      <c r="AQ57"/>
    </row>
    <row r="58" spans="1:43" ht="9" customHeight="1" x14ac:dyDescent="0.25">
      <c r="A58" s="1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12"/>
      <c r="AP58"/>
      <c r="AQ58"/>
    </row>
    <row r="59" spans="1:43" ht="6.75" customHeight="1" thickBot="1" x14ac:dyDescent="0.3">
      <c r="A59" s="1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6"/>
    </row>
  </sheetData>
  <mergeCells count="142">
    <mergeCell ref="B28:AL29"/>
    <mergeCell ref="B24:F24"/>
    <mergeCell ref="G24:I24"/>
    <mergeCell ref="J24:L24"/>
    <mergeCell ref="M24:O24"/>
    <mergeCell ref="B25:F26"/>
    <mergeCell ref="G25:I26"/>
    <mergeCell ref="J25:L26"/>
    <mergeCell ref="M25:O26"/>
    <mergeCell ref="B19:O20"/>
    <mergeCell ref="X15:Y15"/>
    <mergeCell ref="Z15:AA15"/>
    <mergeCell ref="AB15:AC15"/>
    <mergeCell ref="X16:Y16"/>
    <mergeCell ref="Z16:AA16"/>
    <mergeCell ref="AB16:AC16"/>
    <mergeCell ref="AE13:AL14"/>
    <mergeCell ref="AE15:AL16"/>
    <mergeCell ref="P13:Q13"/>
    <mergeCell ref="R16:S16"/>
    <mergeCell ref="T16:U16"/>
    <mergeCell ref="V16:W16"/>
    <mergeCell ref="B16:E16"/>
    <mergeCell ref="F16:G16"/>
    <mergeCell ref="H16:I16"/>
    <mergeCell ref="J16:K16"/>
    <mergeCell ref="L16:M16"/>
    <mergeCell ref="N16:O16"/>
    <mergeCell ref="P16:Q16"/>
    <mergeCell ref="V15:W15"/>
    <mergeCell ref="N15:O15"/>
    <mergeCell ref="P15:Q15"/>
    <mergeCell ref="R15:S15"/>
    <mergeCell ref="X12:Y12"/>
    <mergeCell ref="Z12:AA12"/>
    <mergeCell ref="AB12:AC12"/>
    <mergeCell ref="X13:Y13"/>
    <mergeCell ref="Z13:AA13"/>
    <mergeCell ref="AB13:AC13"/>
    <mergeCell ref="X14:Y14"/>
    <mergeCell ref="Z14:AA14"/>
    <mergeCell ref="AB14:AC14"/>
    <mergeCell ref="B21:F21"/>
    <mergeCell ref="G21:I21"/>
    <mergeCell ref="J21:L21"/>
    <mergeCell ref="M21:O21"/>
    <mergeCell ref="B22:F22"/>
    <mergeCell ref="G22:I22"/>
    <mergeCell ref="J22:L22"/>
    <mergeCell ref="M22:O22"/>
    <mergeCell ref="B23:F23"/>
    <mergeCell ref="G23:I23"/>
    <mergeCell ref="J23:L23"/>
    <mergeCell ref="M23:O23"/>
    <mergeCell ref="B2:AL2"/>
    <mergeCell ref="B4:F4"/>
    <mergeCell ref="AE4:AL4"/>
    <mergeCell ref="B6:F6"/>
    <mergeCell ref="AE6:AL6"/>
    <mergeCell ref="H6:N6"/>
    <mergeCell ref="O6:P6"/>
    <mergeCell ref="H4:Y4"/>
    <mergeCell ref="Q6:Y6"/>
    <mergeCell ref="V9:W9"/>
    <mergeCell ref="R8:W8"/>
    <mergeCell ref="AE8:AL9"/>
    <mergeCell ref="F9:G9"/>
    <mergeCell ref="H9:I9"/>
    <mergeCell ref="J9:K9"/>
    <mergeCell ref="L9:M9"/>
    <mergeCell ref="N9:O9"/>
    <mergeCell ref="T11:U11"/>
    <mergeCell ref="V11:W11"/>
    <mergeCell ref="P9:Q9"/>
    <mergeCell ref="R9:S9"/>
    <mergeCell ref="T9:U9"/>
    <mergeCell ref="X8:AC8"/>
    <mergeCell ref="X9:Y9"/>
    <mergeCell ref="Z9:AA9"/>
    <mergeCell ref="AB9:AC9"/>
    <mergeCell ref="X10:Y10"/>
    <mergeCell ref="Z10:AA10"/>
    <mergeCell ref="AB10:AC10"/>
    <mergeCell ref="X11:Y11"/>
    <mergeCell ref="Z11:AA11"/>
    <mergeCell ref="AB11:AC11"/>
    <mergeCell ref="AE10:AL11"/>
    <mergeCell ref="T10:U10"/>
    <mergeCell ref="V10:W10"/>
    <mergeCell ref="B10:E10"/>
    <mergeCell ref="F10:G10"/>
    <mergeCell ref="H10:I10"/>
    <mergeCell ref="J10:K10"/>
    <mergeCell ref="L10:M10"/>
    <mergeCell ref="N10:O10"/>
    <mergeCell ref="R11:S11"/>
    <mergeCell ref="B11:E11"/>
    <mergeCell ref="F11:G11"/>
    <mergeCell ref="H11:I11"/>
    <mergeCell ref="J11:K11"/>
    <mergeCell ref="L11:M11"/>
    <mergeCell ref="N11:O11"/>
    <mergeCell ref="P11:Q11"/>
    <mergeCell ref="P10:Q10"/>
    <mergeCell ref="R10:S10"/>
    <mergeCell ref="R12:S12"/>
    <mergeCell ref="T12:U12"/>
    <mergeCell ref="V12:W12"/>
    <mergeCell ref="B12:E12"/>
    <mergeCell ref="F12:G12"/>
    <mergeCell ref="H12:I12"/>
    <mergeCell ref="J12:K12"/>
    <mergeCell ref="L12:M12"/>
    <mergeCell ref="N12:O12"/>
    <mergeCell ref="B8:E9"/>
    <mergeCell ref="B15:E15"/>
    <mergeCell ref="F15:G15"/>
    <mergeCell ref="H15:I15"/>
    <mergeCell ref="J15:K15"/>
    <mergeCell ref="F8:Q8"/>
    <mergeCell ref="J14:K14"/>
    <mergeCell ref="L14:M14"/>
    <mergeCell ref="N14:O14"/>
    <mergeCell ref="P14:Q14"/>
    <mergeCell ref="P12:Q12"/>
    <mergeCell ref="V13:W13"/>
    <mergeCell ref="V14:W14"/>
    <mergeCell ref="B13:E13"/>
    <mergeCell ref="F13:G13"/>
    <mergeCell ref="H13:I13"/>
    <mergeCell ref="J13:K13"/>
    <mergeCell ref="L13:M13"/>
    <mergeCell ref="N13:O13"/>
    <mergeCell ref="T15:U15"/>
    <mergeCell ref="L15:M15"/>
    <mergeCell ref="R14:S14"/>
    <mergeCell ref="T14:U14"/>
    <mergeCell ref="B14:E14"/>
    <mergeCell ref="F14:G14"/>
    <mergeCell ref="H14:I14"/>
    <mergeCell ref="R13:S13"/>
    <mergeCell ref="T13:U13"/>
  </mergeCells>
  <printOptions horizontalCentered="1"/>
  <pageMargins left="0.59055118110236227" right="0.59055118110236227" top="0.78740157480314965" bottom="0.59055118110236227" header="0.31496062992125984" footer="0.31496062992125984"/>
  <pageSetup paperSize="9" scale="7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OKUL KARNESİ</vt:lpstr>
      <vt:lpstr>'OKUL KARNESİ'!Yazdırma_Alanı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2016-02-06T00:52:55Z</dcterms:modified>
</cp:coreProperties>
</file>