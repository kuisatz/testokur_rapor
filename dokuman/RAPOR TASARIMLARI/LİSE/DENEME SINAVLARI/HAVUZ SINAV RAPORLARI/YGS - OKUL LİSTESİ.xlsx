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3)" sheetId="3" r:id="rId1"/>
  </sheets>
  <definedNames>
    <definedName name="_xlnm.Print_Area" localSheetId="0">'Sayfa1 (3)'!$A$1:$Q$35</definedName>
  </definedNames>
  <calcPr calcId="152511"/>
</workbook>
</file>

<file path=xl/calcChain.xml><?xml version="1.0" encoding="utf-8"?>
<calcChain xmlns="http://schemas.openxmlformats.org/spreadsheetml/2006/main">
  <c r="N15" i="3" l="1"/>
  <c r="N14" i="3"/>
  <c r="N13" i="3"/>
  <c r="N12" i="3"/>
  <c r="N11" i="3"/>
  <c r="N10" i="3"/>
  <c r="N9" i="3"/>
  <c r="L15" i="3" l="1"/>
  <c r="L14" i="3"/>
  <c r="L13" i="3"/>
  <c r="L12" i="3"/>
  <c r="L11" i="3"/>
  <c r="L10" i="3"/>
  <c r="L9" i="3"/>
  <c r="G17" i="3" l="1"/>
  <c r="F17" i="3"/>
  <c r="H17" i="3"/>
  <c r="I17" i="3"/>
  <c r="J17" i="3"/>
  <c r="K17" i="3"/>
  <c r="M17" i="3"/>
  <c r="L17" i="3"/>
  <c r="N17" i="3" l="1"/>
</calcChain>
</file>

<file path=xl/sharedStrings.xml><?xml version="1.0" encoding="utf-8"?>
<sst xmlns="http://schemas.openxmlformats.org/spreadsheetml/2006/main" count="52" uniqueCount="46">
  <si>
    <t>Sıra</t>
  </si>
  <si>
    <t>Sınav Adı</t>
  </si>
  <si>
    <t>Başarı
(%)</t>
  </si>
  <si>
    <t>Genel
Sıra</t>
  </si>
  <si>
    <t>Türkçe</t>
  </si>
  <si>
    <t>Fen Bilimleri</t>
  </si>
  <si>
    <t>TOPLAM</t>
  </si>
  <si>
    <t>İlçe
Sıra</t>
  </si>
  <si>
    <t>İl
Sıra</t>
  </si>
  <si>
    <t>OKUL ADI</t>
  </si>
  <si>
    <t>A OKULU</t>
  </si>
  <si>
    <t>B OKULU</t>
  </si>
  <si>
    <t>C OKULU</t>
  </si>
  <si>
    <t>D OKULU</t>
  </si>
  <si>
    <t>E OKULU</t>
  </si>
  <si>
    <t>F OKULU</t>
  </si>
  <si>
    <t>G OKULU</t>
  </si>
  <si>
    <t>Puan
Ort.</t>
  </si>
  <si>
    <t>ORTALAMALAR</t>
  </si>
  <si>
    <t>ÖĞRENCİ
SAYISI</t>
  </si>
  <si>
    <t>SINIF
SAYISI</t>
  </si>
  <si>
    <t>İZMİR</t>
  </si>
  <si>
    <t>KINIK</t>
  </si>
  <si>
    <t>İSTANBUL</t>
  </si>
  <si>
    <t>ATAŞEHİR</t>
  </si>
  <si>
    <t>MANİSA</t>
  </si>
  <si>
    <t>SARUHANLI</t>
  </si>
  <si>
    <t>ANTALYA</t>
  </si>
  <si>
    <t>MURATPAŞA</t>
  </si>
  <si>
    <t>BORNOVA</t>
  </si>
  <si>
    <t>BAYRAKLI</t>
  </si>
  <si>
    <t>İL</t>
  </si>
  <si>
    <t>İLÇE</t>
  </si>
  <si>
    <t>OKUL BİLGİLERİ</t>
  </si>
  <si>
    <t>NET ORTALAMALARI</t>
  </si>
  <si>
    <t>ORTALAMA PUAN ve DERECE</t>
  </si>
  <si>
    <t>Sınav Tarihi</t>
  </si>
  <si>
    <t>: TESTOKUR 3. DENEME</t>
  </si>
  <si>
    <t>: 15.01.2016</t>
  </si>
  <si>
    <t>SINAV SONUÇ LİSTESİ (OKUL)</t>
  </si>
  <si>
    <t>İl:</t>
  </si>
  <si>
    <t>İlçe:</t>
  </si>
  <si>
    <t>Okul:</t>
  </si>
  <si>
    <t>HEPSİ</t>
  </si>
  <si>
    <t>Sosyal
Bilimler</t>
  </si>
  <si>
    <t>Temel
Matematik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</si>
</sst>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color theme="0" tint="-0.249977111117893"/>
      <name val="Calibri"/>
      <family val="2"/>
      <charset val="162"/>
      <scheme val="minor"/>
    </font>
    <font>
      <sz val="1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2" fontId="2" fillId="0" borderId="18" xfId="0" applyNumberFormat="1" applyFont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 indent="1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18" xfId="0" applyNumberFormat="1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1" fontId="2" fillId="3" borderId="14" xfId="0" applyNumberFormat="1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left" vertical="center" indent="1"/>
    </xf>
    <xf numFmtId="0" fontId="2" fillId="0" borderId="16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"/>
  <sheetViews>
    <sheetView tabSelected="1" zoomScale="85" zoomScaleNormal="85" workbookViewId="0">
      <selection activeCell="N9" sqref="N9"/>
    </sheetView>
  </sheetViews>
  <sheetFormatPr defaultRowHeight="15" x14ac:dyDescent="0.25"/>
  <cols>
    <col min="1" max="2" width="6.5703125" style="6" customWidth="1"/>
    <col min="3" max="3" width="21.5703125" style="6" customWidth="1"/>
    <col min="4" max="5" width="15.7109375" style="6" customWidth="1"/>
    <col min="6" max="6" width="6.5703125" style="6" bestFit="1" customWidth="1"/>
    <col min="7" max="7" width="9.140625" style="6" bestFit="1" customWidth="1"/>
    <col min="8" max="11" width="10.7109375" style="7" customWidth="1"/>
    <col min="12" max="12" width="8.5703125" style="7" bestFit="1" customWidth="1"/>
    <col min="13" max="13" width="8.7109375" style="7" customWidth="1"/>
    <col min="14" max="14" width="7.7109375" style="7" customWidth="1"/>
    <col min="15" max="16" width="4.85546875" style="5" bestFit="1" customWidth="1"/>
    <col min="17" max="17" width="6.7109375" style="5" customWidth="1"/>
    <col min="18" max="16384" width="9.140625" style="5"/>
  </cols>
  <sheetData>
    <row r="1" spans="1:17" ht="31.5" customHeight="1" x14ac:dyDescent="0.25">
      <c r="A1" s="52" t="s">
        <v>39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2" customHeight="1" x14ac:dyDescent="0.25">
      <c r="L2" s="5"/>
      <c r="M2" s="18"/>
      <c r="N2" s="18"/>
      <c r="O2" s="18"/>
      <c r="P2" s="18"/>
    </row>
    <row r="3" spans="1:17" s="1" customFormat="1" ht="15" customHeight="1" x14ac:dyDescent="0.25">
      <c r="A3" s="53" t="s">
        <v>1</v>
      </c>
      <c r="B3" s="53"/>
      <c r="C3" s="4" t="s">
        <v>37</v>
      </c>
      <c r="D3" s="4"/>
      <c r="E3" s="4"/>
      <c r="F3" s="4"/>
      <c r="G3" s="4"/>
      <c r="H3" s="2"/>
      <c r="I3" s="2"/>
      <c r="J3" s="2"/>
      <c r="K3" s="56" t="s">
        <v>40</v>
      </c>
      <c r="L3" s="56"/>
      <c r="M3" s="67" t="s">
        <v>43</v>
      </c>
      <c r="N3" s="67"/>
      <c r="O3" s="67"/>
      <c r="P3" s="67"/>
      <c r="Q3" s="67"/>
    </row>
    <row r="4" spans="1:17" s="1" customFormat="1" ht="15" customHeight="1" x14ac:dyDescent="0.25">
      <c r="A4" s="24"/>
      <c r="B4" s="24"/>
      <c r="C4" s="4"/>
      <c r="D4" s="4"/>
      <c r="E4" s="4"/>
      <c r="F4" s="4"/>
      <c r="G4" s="4"/>
      <c r="H4" s="2"/>
      <c r="I4" s="2"/>
      <c r="J4" s="2"/>
      <c r="K4" s="56" t="s">
        <v>41</v>
      </c>
      <c r="L4" s="56"/>
      <c r="M4" s="67" t="s">
        <v>43</v>
      </c>
      <c r="N4" s="67"/>
      <c r="O4" s="67"/>
      <c r="P4" s="67"/>
      <c r="Q4" s="67"/>
    </row>
    <row r="5" spans="1:17" s="1" customFormat="1" ht="15" customHeight="1" x14ac:dyDescent="0.25">
      <c r="A5" s="53" t="s">
        <v>36</v>
      </c>
      <c r="B5" s="53"/>
      <c r="C5" s="4" t="s">
        <v>38</v>
      </c>
      <c r="D5" s="4"/>
      <c r="E5" s="4"/>
      <c r="F5" s="4"/>
      <c r="G5" s="4"/>
      <c r="H5" s="4"/>
      <c r="I5" s="4"/>
      <c r="J5" s="4"/>
      <c r="K5" s="56" t="s">
        <v>42</v>
      </c>
      <c r="L5" s="56"/>
      <c r="M5" s="67" t="s">
        <v>43</v>
      </c>
      <c r="N5" s="67"/>
      <c r="O5" s="67"/>
      <c r="P5" s="67"/>
      <c r="Q5" s="67"/>
    </row>
    <row r="6" spans="1:17" s="1" customFormat="1" ht="15" customHeight="1" x14ac:dyDescent="0.25">
      <c r="A6" s="24"/>
      <c r="B6" s="24"/>
      <c r="C6" s="4"/>
      <c r="D6" s="4"/>
      <c r="E6" s="4"/>
      <c r="F6" s="4"/>
      <c r="G6" s="4"/>
      <c r="H6" s="4"/>
      <c r="I6" s="4"/>
      <c r="J6" s="4"/>
      <c r="K6" s="4"/>
      <c r="L6" s="3"/>
      <c r="M6" s="19"/>
      <c r="N6" s="19"/>
      <c r="O6" s="19"/>
      <c r="P6" s="19"/>
    </row>
    <row r="7" spans="1:17" s="28" customFormat="1" ht="23.25" customHeight="1" x14ac:dyDescent="0.25">
      <c r="A7" s="55" t="s">
        <v>33</v>
      </c>
      <c r="B7" s="55"/>
      <c r="C7" s="55"/>
      <c r="D7" s="55"/>
      <c r="E7" s="55"/>
      <c r="F7" s="55"/>
      <c r="G7" s="55"/>
      <c r="H7" s="55" t="s">
        <v>34</v>
      </c>
      <c r="I7" s="55"/>
      <c r="J7" s="55"/>
      <c r="K7" s="55"/>
      <c r="L7" s="55"/>
      <c r="M7" s="55" t="s">
        <v>35</v>
      </c>
      <c r="N7" s="55"/>
      <c r="O7" s="55"/>
      <c r="P7" s="55"/>
      <c r="Q7" s="55"/>
    </row>
    <row r="8" spans="1:17" s="6" customFormat="1" ht="38.25" customHeight="1" x14ac:dyDescent="0.25">
      <c r="A8" s="33" t="s">
        <v>0</v>
      </c>
      <c r="B8" s="54" t="s">
        <v>9</v>
      </c>
      <c r="C8" s="54"/>
      <c r="D8" s="33" t="s">
        <v>31</v>
      </c>
      <c r="E8" s="33" t="s">
        <v>32</v>
      </c>
      <c r="F8" s="34" t="s">
        <v>20</v>
      </c>
      <c r="G8" s="34" t="s">
        <v>19</v>
      </c>
      <c r="H8" s="34" t="s">
        <v>4</v>
      </c>
      <c r="I8" s="34" t="s">
        <v>44</v>
      </c>
      <c r="J8" s="34" t="s">
        <v>45</v>
      </c>
      <c r="K8" s="34" t="s">
        <v>5</v>
      </c>
      <c r="L8" s="35" t="s">
        <v>6</v>
      </c>
      <c r="M8" s="36" t="s">
        <v>17</v>
      </c>
      <c r="N8" s="35" t="s">
        <v>2</v>
      </c>
      <c r="O8" s="34" t="s">
        <v>7</v>
      </c>
      <c r="P8" s="34" t="s">
        <v>8</v>
      </c>
      <c r="Q8" s="34" t="s">
        <v>3</v>
      </c>
    </row>
    <row r="9" spans="1:17" ht="21.75" customHeight="1" x14ac:dyDescent="0.25">
      <c r="A9" s="8">
        <v>1</v>
      </c>
      <c r="B9" s="65" t="s">
        <v>10</v>
      </c>
      <c r="C9" s="66"/>
      <c r="D9" s="21" t="s">
        <v>21</v>
      </c>
      <c r="E9" s="21" t="s">
        <v>22</v>
      </c>
      <c r="F9" s="21">
        <v>4</v>
      </c>
      <c r="G9" s="21">
        <v>85</v>
      </c>
      <c r="H9" s="25">
        <v>40</v>
      </c>
      <c r="I9" s="25">
        <v>40</v>
      </c>
      <c r="J9" s="25">
        <v>40</v>
      </c>
      <c r="K9" s="25">
        <v>40</v>
      </c>
      <c r="L9" s="29">
        <f>SUM(H9,I9,J9,K9)</f>
        <v>160</v>
      </c>
      <c r="M9" s="48">
        <v>500</v>
      </c>
      <c r="N9" s="31">
        <f>L9/160</f>
        <v>1</v>
      </c>
      <c r="O9" s="9">
        <v>12</v>
      </c>
      <c r="P9" s="10">
        <v>12</v>
      </c>
      <c r="Q9" s="11">
        <v>325</v>
      </c>
    </row>
    <row r="10" spans="1:17" ht="21.75" customHeight="1" x14ac:dyDescent="0.25">
      <c r="A10" s="40">
        <v>2</v>
      </c>
      <c r="B10" s="59" t="s">
        <v>11</v>
      </c>
      <c r="C10" s="60"/>
      <c r="D10" s="41" t="s">
        <v>21</v>
      </c>
      <c r="E10" s="41" t="s">
        <v>22</v>
      </c>
      <c r="F10" s="41">
        <v>5</v>
      </c>
      <c r="G10" s="41">
        <v>82</v>
      </c>
      <c r="H10" s="42">
        <v>40</v>
      </c>
      <c r="I10" s="42">
        <v>40</v>
      </c>
      <c r="J10" s="42">
        <v>40</v>
      </c>
      <c r="K10" s="42">
        <v>40</v>
      </c>
      <c r="L10" s="43">
        <f t="shared" ref="L10:L15" si="0">SUM(H10,I10,J10,K10)</f>
        <v>160</v>
      </c>
      <c r="M10" s="49">
        <v>500</v>
      </c>
      <c r="N10" s="44">
        <f t="shared" ref="N10:N15" si="1">L10/160</f>
        <v>1</v>
      </c>
      <c r="O10" s="45">
        <v>62</v>
      </c>
      <c r="P10" s="46">
        <v>62</v>
      </c>
      <c r="Q10" s="47">
        <v>652</v>
      </c>
    </row>
    <row r="11" spans="1:17" ht="21.75" customHeight="1" x14ac:dyDescent="0.25">
      <c r="A11" s="12">
        <v>3</v>
      </c>
      <c r="B11" s="61" t="s">
        <v>12</v>
      </c>
      <c r="C11" s="62"/>
      <c r="D11" s="22" t="s">
        <v>23</v>
      </c>
      <c r="E11" s="22" t="s">
        <v>24</v>
      </c>
      <c r="F11" s="22">
        <v>8</v>
      </c>
      <c r="G11" s="22">
        <v>249</v>
      </c>
      <c r="H11" s="26">
        <v>40</v>
      </c>
      <c r="I11" s="26">
        <v>40</v>
      </c>
      <c r="J11" s="26">
        <v>40</v>
      </c>
      <c r="K11" s="26">
        <v>40</v>
      </c>
      <c r="L11" s="29">
        <f t="shared" si="0"/>
        <v>160</v>
      </c>
      <c r="M11" s="50">
        <v>500</v>
      </c>
      <c r="N11" s="31">
        <f t="shared" si="1"/>
        <v>1</v>
      </c>
      <c r="O11" s="9">
        <v>21</v>
      </c>
      <c r="P11" s="10">
        <v>21</v>
      </c>
      <c r="Q11" s="11">
        <v>248</v>
      </c>
    </row>
    <row r="12" spans="1:17" ht="21.75" customHeight="1" x14ac:dyDescent="0.25">
      <c r="A12" s="40">
        <v>4</v>
      </c>
      <c r="B12" s="59" t="s">
        <v>13</v>
      </c>
      <c r="C12" s="60"/>
      <c r="D12" s="41" t="s">
        <v>25</v>
      </c>
      <c r="E12" s="41" t="s">
        <v>26</v>
      </c>
      <c r="F12" s="41">
        <v>2</v>
      </c>
      <c r="G12" s="41">
        <v>36</v>
      </c>
      <c r="H12" s="42">
        <v>40</v>
      </c>
      <c r="I12" s="42">
        <v>40</v>
      </c>
      <c r="J12" s="42">
        <v>40</v>
      </c>
      <c r="K12" s="42">
        <v>40</v>
      </c>
      <c r="L12" s="43">
        <f t="shared" si="0"/>
        <v>160</v>
      </c>
      <c r="M12" s="49">
        <v>500</v>
      </c>
      <c r="N12" s="44">
        <f t="shared" si="1"/>
        <v>1</v>
      </c>
      <c r="O12" s="45">
        <v>68</v>
      </c>
      <c r="P12" s="46">
        <v>68</v>
      </c>
      <c r="Q12" s="47">
        <v>621</v>
      </c>
    </row>
    <row r="13" spans="1:17" ht="21.75" customHeight="1" x14ac:dyDescent="0.25">
      <c r="A13" s="12">
        <v>5</v>
      </c>
      <c r="B13" s="61" t="s">
        <v>14</v>
      </c>
      <c r="C13" s="62"/>
      <c r="D13" s="22" t="s">
        <v>27</v>
      </c>
      <c r="E13" s="22" t="s">
        <v>28</v>
      </c>
      <c r="F13" s="22">
        <v>1</v>
      </c>
      <c r="G13" s="22">
        <v>14</v>
      </c>
      <c r="H13" s="26">
        <v>40</v>
      </c>
      <c r="I13" s="26">
        <v>40</v>
      </c>
      <c r="J13" s="26">
        <v>40</v>
      </c>
      <c r="K13" s="26">
        <v>40</v>
      </c>
      <c r="L13" s="29">
        <f t="shared" si="0"/>
        <v>160</v>
      </c>
      <c r="M13" s="50">
        <v>500</v>
      </c>
      <c r="N13" s="31">
        <f t="shared" si="1"/>
        <v>1</v>
      </c>
      <c r="O13" s="9">
        <v>50</v>
      </c>
      <c r="P13" s="10">
        <v>50</v>
      </c>
      <c r="Q13" s="11">
        <v>200</v>
      </c>
    </row>
    <row r="14" spans="1:17" ht="21.75" customHeight="1" x14ac:dyDescent="0.25">
      <c r="A14" s="40">
        <v>6</v>
      </c>
      <c r="B14" s="59" t="s">
        <v>15</v>
      </c>
      <c r="C14" s="60"/>
      <c r="D14" s="41" t="s">
        <v>21</v>
      </c>
      <c r="E14" s="41" t="s">
        <v>29</v>
      </c>
      <c r="F14" s="41">
        <v>10</v>
      </c>
      <c r="G14" s="41">
        <v>201</v>
      </c>
      <c r="H14" s="42">
        <v>40</v>
      </c>
      <c r="I14" s="42">
        <v>40</v>
      </c>
      <c r="J14" s="42">
        <v>40</v>
      </c>
      <c r="K14" s="42">
        <v>40</v>
      </c>
      <c r="L14" s="43">
        <f t="shared" si="0"/>
        <v>160</v>
      </c>
      <c r="M14" s="49">
        <v>500</v>
      </c>
      <c r="N14" s="44">
        <f t="shared" si="1"/>
        <v>1</v>
      </c>
      <c r="O14" s="45">
        <v>41</v>
      </c>
      <c r="P14" s="46">
        <v>41</v>
      </c>
      <c r="Q14" s="47">
        <v>209</v>
      </c>
    </row>
    <row r="15" spans="1:17" ht="21.75" customHeight="1" x14ac:dyDescent="0.25">
      <c r="A15" s="13">
        <v>7</v>
      </c>
      <c r="B15" s="63" t="s">
        <v>16</v>
      </c>
      <c r="C15" s="64"/>
      <c r="D15" s="23" t="s">
        <v>21</v>
      </c>
      <c r="E15" s="23" t="s">
        <v>30</v>
      </c>
      <c r="F15" s="23">
        <v>6</v>
      </c>
      <c r="G15" s="23">
        <v>134</v>
      </c>
      <c r="H15" s="27">
        <v>40</v>
      </c>
      <c r="I15" s="27">
        <v>40</v>
      </c>
      <c r="J15" s="27">
        <v>40</v>
      </c>
      <c r="K15" s="27">
        <v>40</v>
      </c>
      <c r="L15" s="30">
        <f t="shared" si="0"/>
        <v>160</v>
      </c>
      <c r="M15" s="51">
        <v>500</v>
      </c>
      <c r="N15" s="32">
        <f t="shared" si="1"/>
        <v>1</v>
      </c>
      <c r="O15" s="14">
        <v>10</v>
      </c>
      <c r="P15" s="15">
        <v>10</v>
      </c>
      <c r="Q15" s="16">
        <v>120</v>
      </c>
    </row>
    <row r="16" spans="1:17" ht="6" customHeight="1" x14ac:dyDescent="0.25">
      <c r="C16" s="20"/>
      <c r="D16" s="20"/>
      <c r="E16" s="20"/>
      <c r="F16" s="20"/>
      <c r="G16" s="20"/>
      <c r="N16" s="17"/>
    </row>
    <row r="17" spans="2:14" ht="21" customHeight="1" x14ac:dyDescent="0.25">
      <c r="B17"/>
      <c r="C17"/>
      <c r="D17" s="57" t="s">
        <v>18</v>
      </c>
      <c r="E17" s="58"/>
      <c r="F17" s="37">
        <f>SUM(F9:F15)</f>
        <v>36</v>
      </c>
      <c r="G17" s="37">
        <f>SUM(G9:G15)</f>
        <v>801</v>
      </c>
      <c r="H17" s="38">
        <f t="shared" ref="H17:N17" si="2">AVERAGE(H9:H15)</f>
        <v>40</v>
      </c>
      <c r="I17" s="38">
        <f t="shared" si="2"/>
        <v>40</v>
      </c>
      <c r="J17" s="38">
        <f t="shared" si="2"/>
        <v>40</v>
      </c>
      <c r="K17" s="38">
        <f t="shared" si="2"/>
        <v>40</v>
      </c>
      <c r="L17" s="38">
        <f t="shared" si="2"/>
        <v>160</v>
      </c>
      <c r="M17" s="38">
        <f t="shared" si="2"/>
        <v>500</v>
      </c>
      <c r="N17" s="39">
        <f t="shared" si="2"/>
        <v>1</v>
      </c>
    </row>
  </sheetData>
  <mergeCells count="21">
    <mergeCell ref="B9:C9"/>
    <mergeCell ref="M3:Q3"/>
    <mergeCell ref="M4:Q4"/>
    <mergeCell ref="M5:Q5"/>
    <mergeCell ref="D17:E17"/>
    <mergeCell ref="B10:C10"/>
    <mergeCell ref="B11:C11"/>
    <mergeCell ref="B12:C12"/>
    <mergeCell ref="B13:C13"/>
    <mergeCell ref="B14:C14"/>
    <mergeCell ref="B15:C15"/>
    <mergeCell ref="A1:Q1"/>
    <mergeCell ref="A3:B3"/>
    <mergeCell ref="A5:B5"/>
    <mergeCell ref="B8:C8"/>
    <mergeCell ref="A7:G7"/>
    <mergeCell ref="H7:L7"/>
    <mergeCell ref="M7:Q7"/>
    <mergeCell ref="K3:L3"/>
    <mergeCell ref="K4:L4"/>
    <mergeCell ref="K5:L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74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(3)</vt:lpstr>
      <vt:lpstr>'Sayfa1 (3)'!Yazdırma_Alanı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2016-02-06T00:53:59Z</dcterms:modified>
</cp:coreProperties>
</file>