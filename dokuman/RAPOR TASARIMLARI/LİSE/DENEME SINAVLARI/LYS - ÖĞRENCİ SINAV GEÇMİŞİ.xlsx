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(2)'!$A$1:$W$36</definedName>
  </definedNames>
  <calcPr calcId="152511"/>
</workbook>
</file>

<file path=xl/calcChain.xml><?xml version="1.0" encoding="utf-8"?>
<calcChain xmlns="http://schemas.openxmlformats.org/spreadsheetml/2006/main">
  <c r="Q16" i="2" l="1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E18" i="2"/>
  <c r="G18" i="2"/>
  <c r="H18" i="2"/>
  <c r="I18" i="2"/>
  <c r="J18" i="2"/>
  <c r="K18" i="2"/>
  <c r="L18" i="2"/>
  <c r="M18" i="2"/>
  <c r="N18" i="2"/>
  <c r="O18" i="2"/>
  <c r="P18" i="2"/>
  <c r="F18" i="2" l="1"/>
  <c r="Q18" i="2" l="1"/>
  <c r="R18" i="2"/>
</calcChain>
</file>

<file path=xl/sharedStrings.xml><?xml version="1.0" encoding="utf-8"?>
<sst xmlns="http://schemas.openxmlformats.org/spreadsheetml/2006/main" count="53" uniqueCount="41">
  <si>
    <t>Sıra</t>
  </si>
  <si>
    <t>Sınav Adı</t>
  </si>
  <si>
    <t>Tarih</t>
  </si>
  <si>
    <t>Başarı
(%)</t>
  </si>
  <si>
    <t>Adı - Soyadı</t>
  </si>
  <si>
    <t>Soru
Sayısı</t>
  </si>
  <si>
    <t>SOSYAL BİLGİLER</t>
  </si>
  <si>
    <t>TÜRKÇE</t>
  </si>
  <si>
    <t>FEN BİLİMLERİ</t>
  </si>
  <si>
    <t>DİN KÜLTÜRÜ</t>
  </si>
  <si>
    <t>No</t>
  </si>
  <si>
    <t>: NECATİ YALÇIN</t>
  </si>
  <si>
    <t>: 2586</t>
  </si>
  <si>
    <t>ORTALAMA</t>
  </si>
  <si>
    <t>Genel
Sıra</t>
  </si>
  <si>
    <t>FİZİK</t>
  </si>
  <si>
    <t>MATEMATİK</t>
  </si>
  <si>
    <t>GEOMETRİ</t>
  </si>
  <si>
    <t>KİMYA</t>
  </si>
  <si>
    <t>BİYOLOJİ</t>
  </si>
  <si>
    <t>EDEBİYAT</t>
  </si>
  <si>
    <t>COĞRAFYA - 1</t>
  </si>
  <si>
    <t>TARİH</t>
  </si>
  <si>
    <t>COĞRAFYA - 2</t>
  </si>
  <si>
    <t>FELSEFE GR.</t>
  </si>
  <si>
    <t>YABANCI DİL</t>
  </si>
  <si>
    <t>LYS - 1</t>
  </si>
  <si>
    <t>LYS - 3</t>
  </si>
  <si>
    <t>LYS - 5</t>
  </si>
  <si>
    <t>LYS - 2</t>
  </si>
  <si>
    <t>LYS - 4</t>
  </si>
  <si>
    <t>LYS ÖĞRENCİ SINAV GEÇMİŞİ</t>
  </si>
  <si>
    <t>Toplam
Net</t>
  </si>
  <si>
    <t>Sınıf</t>
  </si>
  <si>
    <t>Şube</t>
  </si>
  <si>
    <t>:12</t>
  </si>
  <si>
    <t>:A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</si>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</sst>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left" vertical="center" indent="1"/>
    </xf>
    <xf numFmtId="164" fontId="2" fillId="0" borderId="15" xfId="0" applyNumberFormat="1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left" vertical="center" indent="1"/>
    </xf>
    <xf numFmtId="2" fontId="2" fillId="0" borderId="6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left" vertical="center" indent="1"/>
    </xf>
    <xf numFmtId="1" fontId="2" fillId="0" borderId="18" xfId="0" applyNumberFormat="1" applyFont="1" applyBorder="1" applyAlignment="1">
      <alignment horizontal="left" vertical="center" indent="1"/>
    </xf>
    <xf numFmtId="1" fontId="2" fillId="0" borderId="19" xfId="0" applyNumberFormat="1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/>
    </xf>
    <xf numFmtId="1" fontId="1" fillId="2" borderId="13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left" vertical="center" indent="1"/>
    </xf>
    <xf numFmtId="1" fontId="2" fillId="3" borderId="18" xfId="0" applyNumberFormat="1" applyFont="1" applyFill="1" applyBorder="1" applyAlignment="1">
      <alignment horizontal="left" vertical="center" indent="1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1" fontId="2" fillId="0" borderId="17" xfId="0" applyNumberFormat="1" applyFont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'Sayfa1 (2)'!$R$10:$R$16</c:f>
              <c:strCache>
                <c:ptCount val="7"/>
                <c:pt idx="0">
                  <c:v>100,0%</c:v>
                </c:pt>
                <c:pt idx="1">
                  <c:v>47,5%</c:v>
                </c:pt>
                <c:pt idx="2">
                  <c:v>47,5%</c:v>
                </c:pt>
                <c:pt idx="3">
                  <c:v>81,3%</c:v>
                </c:pt>
                <c:pt idx="4">
                  <c:v>64,4%</c:v>
                </c:pt>
                <c:pt idx="5">
                  <c:v>62,2%</c:v>
                </c:pt>
                <c:pt idx="6">
                  <c:v>64,4%</c:v>
                </c:pt>
              </c:strCache>
            </c:strRef>
          </c:tx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(2)'!$B$10:$C$16</c:f>
              <c:strCache>
                <c:ptCount val="7"/>
                <c:pt idx="0">
                  <c:v>LYS - 1</c:v>
                </c:pt>
                <c:pt idx="1">
                  <c:v>LYS - 1</c:v>
                </c:pt>
                <c:pt idx="2">
                  <c:v>LYS - 3</c:v>
                </c:pt>
                <c:pt idx="3">
                  <c:v>LYS - 5</c:v>
                </c:pt>
                <c:pt idx="4">
                  <c:v>LYS - 2</c:v>
                </c:pt>
                <c:pt idx="5">
                  <c:v>LYS - 4</c:v>
                </c:pt>
                <c:pt idx="6">
                  <c:v>LYS - 2</c:v>
                </c:pt>
              </c:strCache>
            </c:strRef>
          </c:cat>
          <c:val>
            <c:numRef>
              <c:f>'Sayfa1 (2)'!$R$10:$R$16</c:f>
              <c:numCache>
                <c:formatCode>0.0%</c:formatCode>
                <c:ptCount val="7"/>
                <c:pt idx="0">
                  <c:v>1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0.8125</c:v>
                </c:pt>
                <c:pt idx="4">
                  <c:v>0.64444444444444449</c:v>
                </c:pt>
                <c:pt idx="5">
                  <c:v>0.62222222222222223</c:v>
                </c:pt>
                <c:pt idx="6">
                  <c:v>0.64444444444444449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692204768"/>
        <c:axId val="-1692199872"/>
      </c:barChart>
      <c:catAx>
        <c:axId val="-1692204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692199872"/>
        <c:crosses val="autoZero"/>
        <c:auto val="1"/>
        <c:lblAlgn val="ctr"/>
        <c:lblOffset val="100"/>
        <c:noMultiLvlLbl val="0"/>
      </c:catAx>
      <c:valAx>
        <c:axId val="-1692199872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69220476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19</xdr:row>
      <xdr:rowOff>29134</xdr:rowOff>
    </xdr:from>
    <xdr:to>
      <xdr:col>22</xdr:col>
      <xdr:colOff>392205</xdr:colOff>
      <xdr:row>34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9525</xdr:colOff>
      <xdr:row>0</xdr:row>
      <xdr:rowOff>257175</xdr:rowOff>
    </xdr:from>
    <xdr:to>
      <xdr:col>22</xdr:col>
      <xdr:colOff>371475</xdr:colOff>
      <xdr:row>7</xdr:row>
      <xdr:rowOff>89742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450" y="257175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8"/>
  <sheetViews>
    <sheetView tabSelected="1" zoomScaleNormal="100" workbookViewId="0">
      <selection activeCell="V18" sqref="V18"/>
    </sheetView>
  </sheetViews>
  <sheetFormatPr defaultRowHeight="15" x14ac:dyDescent="0.25"/>
  <cols>
    <col min="1" max="2" width="6.5703125" style="6" customWidth="1"/>
    <col min="3" max="3" width="15.7109375" style="6" customWidth="1"/>
    <col min="4" max="4" width="12.28515625" style="6" customWidth="1"/>
    <col min="5" max="5" width="6" style="6" bestFit="1" customWidth="1"/>
    <col min="6" max="16" width="6.7109375" style="7" customWidth="1"/>
    <col min="17" max="17" width="9.7109375" style="7" customWidth="1"/>
    <col min="18" max="18" width="7.7109375" style="7" customWidth="1"/>
    <col min="19" max="19" width="5" style="5" bestFit="1" customWidth="1"/>
    <col min="20" max="20" width="5.140625" style="5" bestFit="1" customWidth="1"/>
    <col min="21" max="22" width="4.28515625" style="5" bestFit="1" customWidth="1"/>
    <col min="23" max="23" width="6.42578125" style="5" bestFit="1" customWidth="1"/>
    <col min="24" max="24" width="11.42578125" style="16" bestFit="1" customWidth="1"/>
    <col min="25" max="25" width="13.140625" style="17" bestFit="1" customWidth="1"/>
    <col min="26" max="16384" width="9.140625" style="5"/>
  </cols>
  <sheetData>
    <row r="1" spans="1:27" ht="31.5" customHeight="1" x14ac:dyDescent="0.25">
      <c r="A1" s="72" t="s">
        <v>31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7" ht="12" customHeight="1" x14ac:dyDescent="0.25"/>
    <row r="3" spans="1:27" s="1" customFormat="1" ht="15" customHeight="1" x14ac:dyDescent="0.25">
      <c r="A3" s="79" t="s">
        <v>4</v>
      </c>
      <c r="B3" s="79"/>
      <c r="C3" s="4" t="s">
        <v>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X3" s="18"/>
      <c r="Y3" s="19"/>
    </row>
    <row r="4" spans="1:27" s="1" customFormat="1" ht="15" customHeight="1" x14ac:dyDescent="0.25">
      <c r="A4" s="79" t="s">
        <v>10</v>
      </c>
      <c r="B4" s="79"/>
      <c r="C4" s="4" t="s">
        <v>12</v>
      </c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X4" s="18"/>
      <c r="Y4" s="19"/>
    </row>
    <row r="5" spans="1:27" s="1" customFormat="1" ht="15" customHeight="1" x14ac:dyDescent="0.25">
      <c r="A5" s="64" t="s">
        <v>33</v>
      </c>
      <c r="B5" s="66"/>
      <c r="C5" s="4" t="s">
        <v>35</v>
      </c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S5" s="63"/>
      <c r="T5" s="65"/>
      <c r="U5" s="65"/>
      <c r="V5" s="65"/>
      <c r="W5" s="3"/>
      <c r="X5" s="18"/>
      <c r="Y5" s="19"/>
    </row>
    <row r="6" spans="1:27" s="1" customFormat="1" ht="15" customHeight="1" x14ac:dyDescent="0.25">
      <c r="A6" s="64" t="s">
        <v>34</v>
      </c>
      <c r="B6" s="66"/>
      <c r="C6" s="4" t="s">
        <v>36</v>
      </c>
      <c r="D6" s="2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63"/>
      <c r="T6" s="65"/>
      <c r="U6" s="65"/>
      <c r="V6" s="65"/>
      <c r="W6" s="3"/>
      <c r="X6" s="18"/>
      <c r="Y6" s="19"/>
    </row>
    <row r="7" spans="1:27" s="1" customFormat="1" ht="15" customHeight="1" x14ac:dyDescent="0.25">
      <c r="A7" s="64"/>
      <c r="B7" s="66"/>
      <c r="C7" s="4"/>
      <c r="D7" s="2"/>
      <c r="E7" s="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63"/>
      <c r="T7" s="65"/>
      <c r="U7" s="65"/>
      <c r="V7" s="65"/>
      <c r="W7" s="3"/>
      <c r="X7" s="18"/>
      <c r="Y7" s="19"/>
    </row>
    <row r="8" spans="1:27" ht="12" customHeight="1" x14ac:dyDescent="0.25"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27" s="6" customFormat="1" ht="78" customHeight="1" x14ac:dyDescent="0.25">
      <c r="A9" s="46" t="s">
        <v>0</v>
      </c>
      <c r="B9" s="73" t="s">
        <v>1</v>
      </c>
      <c r="C9" s="73"/>
      <c r="D9" s="46" t="s">
        <v>2</v>
      </c>
      <c r="E9" s="47" t="s">
        <v>5</v>
      </c>
      <c r="F9" s="48" t="s">
        <v>16</v>
      </c>
      <c r="G9" s="48" t="s">
        <v>17</v>
      </c>
      <c r="H9" s="48" t="s">
        <v>15</v>
      </c>
      <c r="I9" s="48" t="s">
        <v>18</v>
      </c>
      <c r="J9" s="48" t="s">
        <v>19</v>
      </c>
      <c r="K9" s="48" t="s">
        <v>20</v>
      </c>
      <c r="L9" s="48" t="s">
        <v>21</v>
      </c>
      <c r="M9" s="48" t="s">
        <v>22</v>
      </c>
      <c r="N9" s="48" t="s">
        <v>23</v>
      </c>
      <c r="O9" s="48" t="s">
        <v>24</v>
      </c>
      <c r="P9" s="48" t="s">
        <v>25</v>
      </c>
      <c r="Q9" s="47" t="s">
        <v>32</v>
      </c>
      <c r="R9" s="47" t="s">
        <v>3</v>
      </c>
      <c r="S9" s="49" t="s">
        <v>37</v>
      </c>
      <c r="T9" s="49" t="s">
        <v>38</v>
      </c>
      <c r="U9" s="49" t="s">
        <v>39</v>
      </c>
      <c r="V9" s="49" t="s">
        <v>40</v>
      </c>
      <c r="W9" s="47" t="s">
        <v>14</v>
      </c>
      <c r="X9" s="20"/>
      <c r="Y9" s="21"/>
    </row>
    <row r="10" spans="1:27" ht="20.100000000000001" customHeight="1" x14ac:dyDescent="0.25">
      <c r="A10" s="8">
        <v>1</v>
      </c>
      <c r="B10" s="75" t="s">
        <v>26</v>
      </c>
      <c r="C10" s="75"/>
      <c r="D10" s="31">
        <v>42328</v>
      </c>
      <c r="E10" s="43">
        <v>80</v>
      </c>
      <c r="F10" s="34">
        <v>40</v>
      </c>
      <c r="G10" s="29">
        <v>40</v>
      </c>
      <c r="H10" s="29"/>
      <c r="I10" s="29"/>
      <c r="J10" s="29"/>
      <c r="K10" s="29"/>
      <c r="L10" s="29"/>
      <c r="M10" s="29"/>
      <c r="N10" s="29"/>
      <c r="O10" s="29"/>
      <c r="P10" s="9"/>
      <c r="Q10" s="34">
        <f>SUM(F10:P10)</f>
        <v>80</v>
      </c>
      <c r="R10" s="40">
        <f>Q10/E10</f>
        <v>1</v>
      </c>
      <c r="S10" s="37">
        <v>10</v>
      </c>
      <c r="T10" s="67">
        <v>10</v>
      </c>
      <c r="U10" s="67">
        <v>10</v>
      </c>
      <c r="V10" s="67">
        <v>4</v>
      </c>
      <c r="W10" s="30">
        <v>7</v>
      </c>
      <c r="X10" s="16" t="s">
        <v>26</v>
      </c>
      <c r="Y10" s="22"/>
      <c r="AA10" s="5" t="s">
        <v>6</v>
      </c>
    </row>
    <row r="11" spans="1:27" ht="20.100000000000001" customHeight="1" x14ac:dyDescent="0.25">
      <c r="A11" s="54">
        <v>2</v>
      </c>
      <c r="B11" s="76" t="s">
        <v>26</v>
      </c>
      <c r="C11" s="76"/>
      <c r="D11" s="55">
        <v>42329</v>
      </c>
      <c r="E11" s="56">
        <v>80</v>
      </c>
      <c r="F11" s="57">
        <v>18</v>
      </c>
      <c r="G11" s="58">
        <v>20</v>
      </c>
      <c r="H11" s="58"/>
      <c r="I11" s="58"/>
      <c r="J11" s="58"/>
      <c r="K11" s="58"/>
      <c r="L11" s="58"/>
      <c r="M11" s="58"/>
      <c r="N11" s="58"/>
      <c r="O11" s="58"/>
      <c r="P11" s="59"/>
      <c r="Q11" s="57">
        <f t="shared" ref="Q11:Q16" si="0">SUM(F11:P11)</f>
        <v>38</v>
      </c>
      <c r="R11" s="60">
        <f t="shared" ref="R11:R16" si="1">Q11/E11</f>
        <v>0.47499999999999998</v>
      </c>
      <c r="S11" s="61">
        <v>10</v>
      </c>
      <c r="T11" s="68">
        <v>10</v>
      </c>
      <c r="U11" s="68">
        <v>10</v>
      </c>
      <c r="V11" s="68">
        <v>3</v>
      </c>
      <c r="W11" s="62">
        <v>6</v>
      </c>
      <c r="X11" s="16" t="s">
        <v>26</v>
      </c>
      <c r="Y11" s="22"/>
      <c r="AA11" s="5" t="s">
        <v>6</v>
      </c>
    </row>
    <row r="12" spans="1:27" ht="20.100000000000001" customHeight="1" x14ac:dyDescent="0.25">
      <c r="A12" s="10">
        <v>3</v>
      </c>
      <c r="B12" s="77" t="s">
        <v>27</v>
      </c>
      <c r="C12" s="77"/>
      <c r="D12" s="32">
        <v>42330</v>
      </c>
      <c r="E12" s="44">
        <v>80</v>
      </c>
      <c r="F12" s="35"/>
      <c r="G12" s="25"/>
      <c r="H12" s="25"/>
      <c r="I12" s="25"/>
      <c r="J12" s="25"/>
      <c r="K12" s="25">
        <v>20</v>
      </c>
      <c r="L12" s="25">
        <v>18</v>
      </c>
      <c r="M12" s="25"/>
      <c r="N12" s="25"/>
      <c r="O12" s="25"/>
      <c r="P12" s="11"/>
      <c r="Q12" s="35">
        <f t="shared" si="0"/>
        <v>38</v>
      </c>
      <c r="R12" s="41">
        <f t="shared" si="1"/>
        <v>0.47499999999999998</v>
      </c>
      <c r="S12" s="38">
        <v>10</v>
      </c>
      <c r="T12" s="69">
        <v>10</v>
      </c>
      <c r="U12" s="69">
        <v>10</v>
      </c>
      <c r="V12" s="69">
        <v>5</v>
      </c>
      <c r="W12" s="26">
        <v>9</v>
      </c>
      <c r="X12" s="16" t="s">
        <v>27</v>
      </c>
      <c r="Y12" s="22"/>
      <c r="AA12" s="5" t="s">
        <v>6</v>
      </c>
    </row>
    <row r="13" spans="1:27" ht="20.100000000000001" customHeight="1" x14ac:dyDescent="0.25">
      <c r="A13" s="54">
        <v>4</v>
      </c>
      <c r="B13" s="76" t="s">
        <v>28</v>
      </c>
      <c r="C13" s="76"/>
      <c r="D13" s="55">
        <v>42262</v>
      </c>
      <c r="E13" s="56">
        <v>80</v>
      </c>
      <c r="F13" s="57"/>
      <c r="G13" s="58"/>
      <c r="H13" s="58"/>
      <c r="I13" s="58"/>
      <c r="J13" s="58"/>
      <c r="K13" s="58"/>
      <c r="L13" s="58"/>
      <c r="M13" s="58"/>
      <c r="N13" s="58"/>
      <c r="O13" s="58"/>
      <c r="P13" s="59">
        <v>65</v>
      </c>
      <c r="Q13" s="57">
        <f t="shared" si="0"/>
        <v>65</v>
      </c>
      <c r="R13" s="60">
        <f t="shared" si="1"/>
        <v>0.8125</v>
      </c>
      <c r="S13" s="61">
        <v>10</v>
      </c>
      <c r="T13" s="68">
        <v>10</v>
      </c>
      <c r="U13" s="68">
        <v>10</v>
      </c>
      <c r="V13" s="68">
        <v>1</v>
      </c>
      <c r="W13" s="62">
        <v>2</v>
      </c>
      <c r="X13" s="16" t="s">
        <v>28</v>
      </c>
      <c r="Y13" s="22"/>
      <c r="AA13" s="5" t="s">
        <v>7</v>
      </c>
    </row>
    <row r="14" spans="1:27" ht="20.100000000000001" customHeight="1" x14ac:dyDescent="0.25">
      <c r="A14" s="10">
        <v>5</v>
      </c>
      <c r="B14" s="77" t="s">
        <v>29</v>
      </c>
      <c r="C14" s="77"/>
      <c r="D14" s="32">
        <v>42297</v>
      </c>
      <c r="E14" s="44">
        <v>90</v>
      </c>
      <c r="F14" s="35"/>
      <c r="G14" s="25"/>
      <c r="H14" s="25">
        <v>18</v>
      </c>
      <c r="I14" s="25">
        <v>20</v>
      </c>
      <c r="J14" s="25">
        <v>20</v>
      </c>
      <c r="K14" s="25"/>
      <c r="L14" s="25"/>
      <c r="M14" s="25"/>
      <c r="N14" s="25"/>
      <c r="O14" s="25"/>
      <c r="P14" s="11"/>
      <c r="Q14" s="35">
        <f t="shared" si="0"/>
        <v>58</v>
      </c>
      <c r="R14" s="41">
        <f t="shared" si="1"/>
        <v>0.64444444444444449</v>
      </c>
      <c r="S14" s="38">
        <v>10</v>
      </c>
      <c r="T14" s="69">
        <v>10</v>
      </c>
      <c r="U14" s="69">
        <v>10</v>
      </c>
      <c r="V14" s="69">
        <v>8</v>
      </c>
      <c r="W14" s="26">
        <v>12</v>
      </c>
      <c r="X14" s="16" t="s">
        <v>29</v>
      </c>
      <c r="Y14" s="22"/>
      <c r="AA14" s="5" t="s">
        <v>8</v>
      </c>
    </row>
    <row r="15" spans="1:27" ht="20.100000000000001" customHeight="1" x14ac:dyDescent="0.25">
      <c r="A15" s="54">
        <v>6</v>
      </c>
      <c r="B15" s="76" t="s">
        <v>30</v>
      </c>
      <c r="C15" s="76"/>
      <c r="D15" s="55">
        <v>42299</v>
      </c>
      <c r="E15" s="56">
        <v>90</v>
      </c>
      <c r="F15" s="57"/>
      <c r="G15" s="58"/>
      <c r="H15" s="58"/>
      <c r="I15" s="58"/>
      <c r="J15" s="58"/>
      <c r="K15" s="58"/>
      <c r="L15" s="58"/>
      <c r="M15" s="58">
        <v>20</v>
      </c>
      <c r="N15" s="58">
        <v>18</v>
      </c>
      <c r="O15" s="58">
        <v>18</v>
      </c>
      <c r="P15" s="59"/>
      <c r="Q15" s="57">
        <f t="shared" si="0"/>
        <v>56</v>
      </c>
      <c r="R15" s="60">
        <f t="shared" si="1"/>
        <v>0.62222222222222223</v>
      </c>
      <c r="S15" s="61">
        <v>10</v>
      </c>
      <c r="T15" s="68">
        <v>10</v>
      </c>
      <c r="U15" s="68">
        <v>10</v>
      </c>
      <c r="V15" s="68">
        <v>6</v>
      </c>
      <c r="W15" s="62">
        <v>14</v>
      </c>
      <c r="X15" s="16" t="s">
        <v>30</v>
      </c>
      <c r="Y15" s="22"/>
      <c r="AA15" s="5" t="s">
        <v>6</v>
      </c>
    </row>
    <row r="16" spans="1:27" ht="20.100000000000001" customHeight="1" x14ac:dyDescent="0.25">
      <c r="A16" s="12">
        <v>7</v>
      </c>
      <c r="B16" s="78" t="s">
        <v>29</v>
      </c>
      <c r="C16" s="78"/>
      <c r="D16" s="33">
        <v>42329</v>
      </c>
      <c r="E16" s="45">
        <v>90</v>
      </c>
      <c r="F16" s="36"/>
      <c r="G16" s="27"/>
      <c r="H16" s="27">
        <v>18</v>
      </c>
      <c r="I16" s="27">
        <v>20</v>
      </c>
      <c r="J16" s="27">
        <v>20</v>
      </c>
      <c r="K16" s="27"/>
      <c r="L16" s="27"/>
      <c r="M16" s="27"/>
      <c r="N16" s="27"/>
      <c r="O16" s="27"/>
      <c r="P16" s="13"/>
      <c r="Q16" s="36">
        <f t="shared" si="0"/>
        <v>58</v>
      </c>
      <c r="R16" s="42">
        <f t="shared" si="1"/>
        <v>0.64444444444444449</v>
      </c>
      <c r="S16" s="39">
        <v>10</v>
      </c>
      <c r="T16" s="70">
        <v>10</v>
      </c>
      <c r="U16" s="70">
        <v>10</v>
      </c>
      <c r="V16" s="70">
        <v>6</v>
      </c>
      <c r="W16" s="28">
        <v>8</v>
      </c>
      <c r="X16" s="16" t="s">
        <v>29</v>
      </c>
      <c r="Y16" s="23"/>
      <c r="AA16" s="5" t="s">
        <v>9</v>
      </c>
    </row>
    <row r="17" spans="3:18" ht="15" customHeight="1" x14ac:dyDescent="0.25">
      <c r="C17" s="74"/>
      <c r="D17" s="74"/>
      <c r="E17" s="24"/>
      <c r="R17" s="14"/>
    </row>
    <row r="18" spans="3:18" ht="21" customHeight="1" x14ac:dyDescent="0.25">
      <c r="C18" s="15"/>
      <c r="D18" s="50" t="s">
        <v>13</v>
      </c>
      <c r="E18" s="51">
        <f>AVERAGE(E10:E16)</f>
        <v>84.285714285714292</v>
      </c>
      <c r="F18" s="52">
        <f t="shared" ref="F18:R18" si="2">AVERAGE(F10:F16)</f>
        <v>29</v>
      </c>
      <c r="G18" s="52">
        <f t="shared" si="2"/>
        <v>30</v>
      </c>
      <c r="H18" s="52">
        <f t="shared" si="2"/>
        <v>18</v>
      </c>
      <c r="I18" s="52">
        <f t="shared" si="2"/>
        <v>20</v>
      </c>
      <c r="J18" s="52">
        <f t="shared" si="2"/>
        <v>20</v>
      </c>
      <c r="K18" s="52">
        <f t="shared" si="2"/>
        <v>20</v>
      </c>
      <c r="L18" s="52">
        <f t="shared" si="2"/>
        <v>18</v>
      </c>
      <c r="M18" s="52">
        <f t="shared" si="2"/>
        <v>20</v>
      </c>
      <c r="N18" s="52">
        <f t="shared" si="2"/>
        <v>18</v>
      </c>
      <c r="O18" s="52">
        <f t="shared" si="2"/>
        <v>18</v>
      </c>
      <c r="P18" s="52">
        <f t="shared" si="2"/>
        <v>65</v>
      </c>
      <c r="Q18" s="52">
        <f t="shared" si="2"/>
        <v>56.142857142857146</v>
      </c>
      <c r="R18" s="53">
        <f t="shared" si="2"/>
        <v>0.66765873015873023</v>
      </c>
    </row>
  </sheetData>
  <mergeCells count="13">
    <mergeCell ref="F8:P8"/>
    <mergeCell ref="A1:W1"/>
    <mergeCell ref="B9:C9"/>
    <mergeCell ref="C17:D17"/>
    <mergeCell ref="B10:C10"/>
    <mergeCell ref="B11:C11"/>
    <mergeCell ref="B13:C13"/>
    <mergeCell ref="B14:C14"/>
    <mergeCell ref="B15:C15"/>
    <mergeCell ref="B16:C16"/>
    <mergeCell ref="B12:C12"/>
    <mergeCell ref="A4:B4"/>
    <mergeCell ref="A3:B3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2016-02-21T16:40:07Z</dcterms:modified>
</cp:coreProperties>
</file>