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(2)'!$A$1:$K$33</definedName>
  </definedNames>
  <calcPr calcId="152511"/>
</workbook>
</file>

<file path=xl/calcChain.xml><?xml version="1.0" encoding="utf-8"?>
<calcChain xmlns="http://schemas.openxmlformats.org/spreadsheetml/2006/main">
  <c r="I13" i="2" l="1"/>
  <c r="K13" i="2" s="1"/>
  <c r="I12" i="2"/>
  <c r="K12" i="2" s="1"/>
  <c r="I11" i="2"/>
  <c r="K11" i="2" s="1"/>
  <c r="I10" i="2"/>
  <c r="K10" i="2" s="1"/>
  <c r="I9" i="2"/>
  <c r="K9" i="2" s="1"/>
  <c r="I8" i="2"/>
  <c r="K8" i="2" s="1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I7" i="2"/>
  <c r="K7" i="2" s="1"/>
  <c r="D15" i="2" l="1"/>
  <c r="F15" i="2"/>
  <c r="C15" i="2"/>
  <c r="G15" i="2"/>
  <c r="E15" i="2"/>
  <c r="J15" i="2" l="1"/>
  <c r="I15" i="2"/>
  <c r="K15" i="2" l="1"/>
</calcChain>
</file>

<file path=xl/sharedStrings.xml><?xml version="1.0" encoding="utf-8"?>
<sst xmlns="http://schemas.openxmlformats.org/spreadsheetml/2006/main" count="39" uniqueCount="26">
  <si>
    <t>Sıra</t>
  </si>
  <si>
    <t>Sınav Adı</t>
  </si>
  <si>
    <t>Başarı
(%)</t>
  </si>
  <si>
    <t>SOSYAL BİLGİLER</t>
  </si>
  <si>
    <t>TÜRKÇE</t>
  </si>
  <si>
    <t>FEN BİLİMLERİ</t>
  </si>
  <si>
    <t>DİN KÜLTÜRÜ</t>
  </si>
  <si>
    <t>ORTALAMA</t>
  </si>
  <si>
    <t>Sınav Tarihi :</t>
  </si>
  <si>
    <t>Sınıf</t>
  </si>
  <si>
    <t>12/A</t>
  </si>
  <si>
    <t>12/B</t>
  </si>
  <si>
    <t>12/C</t>
  </si>
  <si>
    <t>12/D</t>
  </si>
  <si>
    <t>12/E</t>
  </si>
  <si>
    <t>12/F</t>
  </si>
  <si>
    <t>12/G</t>
  </si>
  <si>
    <t>Öğrenci
Sayısı</t>
  </si>
  <si>
    <t>Ort.
Net</t>
  </si>
  <si>
    <t>Ort.
Puan</t>
  </si>
  <si>
    <t>Ort.
Başarı (%)</t>
  </si>
  <si>
    <t>TOPLAM</t>
  </si>
  <si>
    <t>Matematik</t>
  </si>
  <si>
    <t>Geometri</t>
  </si>
  <si>
    <t>LYS-1 SINIF KARŞILAŞTIRMA RAPORU</t>
  </si>
  <si>
    <t>: LYS-1 - 1. DENEME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</si>
</sst>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0" tint="-0.34998626667073579"/>
      <name val="Calibri"/>
      <family val="2"/>
      <charset val="162"/>
      <scheme val="minor"/>
    </font>
    <font>
      <b/>
      <sz val="11"/>
      <color theme="0" tint="-0.3499862666707357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Border="1"/>
    <xf numFmtId="9" fontId="4" fillId="0" borderId="0" xfId="0" applyNumberFormat="1" applyFont="1" applyBorder="1"/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165" fontId="2" fillId="0" borderId="2" xfId="0" applyNumberFormat="1" applyFon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164" fontId="2" fillId="0" borderId="16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/>
    </xf>
    <xf numFmtId="164" fontId="2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7" xfId="0" quotePrefix="1" applyFont="1" applyFill="1" applyBorder="1" applyAlignment="1">
      <alignment horizontal="center" vertical="center" wrapText="1"/>
    </xf>
    <xf numFmtId="0" fontId="1" fillId="2" borderId="21" xfId="0" quotePrefix="1" applyFont="1" applyFill="1" applyBorder="1" applyAlignment="1">
      <alignment horizontal="center" vertical="center" wrapText="1"/>
    </xf>
    <xf numFmtId="0" fontId="1" fillId="2" borderId="14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LYS-1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C66"/>
            </a:soli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(2)'!$B$7:$B$13</c:f>
              <c:strCache>
                <c:ptCount val="7"/>
                <c:pt idx="0">
                  <c:v>12/A</c:v>
                </c:pt>
                <c:pt idx="1">
                  <c:v>12/B</c:v>
                </c:pt>
                <c:pt idx="2">
                  <c:v>12/C</c:v>
                </c:pt>
                <c:pt idx="3">
                  <c:v>12/D</c:v>
                </c:pt>
                <c:pt idx="4">
                  <c:v>12/E</c:v>
                </c:pt>
                <c:pt idx="5">
                  <c:v>12/F</c:v>
                </c:pt>
                <c:pt idx="6">
                  <c:v>12/G</c:v>
                </c:pt>
              </c:strCache>
            </c:strRef>
          </c:cat>
          <c:val>
            <c:numRef>
              <c:f>'Sayfa1 (2)'!$J$7:$J$13</c:f>
              <c:numCache>
                <c:formatCode>0.000</c:formatCode>
                <c:ptCount val="7"/>
                <c:pt idx="0">
                  <c:v>500</c:v>
                </c:pt>
                <c:pt idx="1">
                  <c:v>450</c:v>
                </c:pt>
                <c:pt idx="2">
                  <c:v>385</c:v>
                </c:pt>
                <c:pt idx="3">
                  <c:v>392</c:v>
                </c:pt>
                <c:pt idx="4">
                  <c:v>421</c:v>
                </c:pt>
                <c:pt idx="5">
                  <c:v>462</c:v>
                </c:pt>
                <c:pt idx="6">
                  <c:v>401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59362080"/>
        <c:axId val="959356640"/>
      </c:barChart>
      <c:catAx>
        <c:axId val="959362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59356640"/>
        <c:crosses val="autoZero"/>
        <c:auto val="1"/>
        <c:lblAlgn val="ctr"/>
        <c:lblOffset val="100"/>
        <c:noMultiLvlLbl val="0"/>
      </c:catAx>
      <c:valAx>
        <c:axId val="959356640"/>
        <c:scaling>
          <c:orientation val="minMax"/>
          <c:max val="500"/>
          <c:min val="2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5936208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16</xdr:row>
      <xdr:rowOff>29134</xdr:rowOff>
    </xdr:from>
    <xdr:to>
      <xdr:col>11</xdr:col>
      <xdr:colOff>0</xdr:colOff>
      <xdr:row>30</xdr:row>
      <xdr:rowOff>47625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"/>
  <sheetViews>
    <sheetView tabSelected="1" zoomScaleNormal="100" workbookViewId="0">
      <selection activeCell="K7" sqref="K7"/>
    </sheetView>
  </sheetViews>
  <sheetFormatPr defaultRowHeight="15" x14ac:dyDescent="0.25"/>
  <cols>
    <col min="1" max="1" width="6.5703125" style="5" customWidth="1"/>
    <col min="2" max="2" width="12.7109375" style="5" customWidth="1"/>
    <col min="3" max="3" width="10.7109375" style="5" customWidth="1"/>
    <col min="4" max="7" width="10.7109375" style="6" customWidth="1"/>
    <col min="8" max="8" width="1.5703125" style="6" customWidth="1"/>
    <col min="9" max="11" width="10.7109375" style="6" customWidth="1"/>
    <col min="12" max="12" width="11.42578125" style="11" bestFit="1" customWidth="1"/>
    <col min="13" max="13" width="13.140625" style="12" bestFit="1" customWidth="1"/>
    <col min="14" max="16384" width="9.140625" style="4"/>
  </cols>
  <sheetData>
    <row r="1" spans="1:15" ht="31.5" customHeight="1" x14ac:dyDescent="0.25">
      <c r="A1" s="58" t="s">
        <v>24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5" ht="18" customHeight="1" x14ac:dyDescent="0.25"/>
    <row r="3" spans="1:15" s="1" customFormat="1" ht="15" customHeight="1" x14ac:dyDescent="0.25">
      <c r="A3" s="60" t="s">
        <v>1</v>
      </c>
      <c r="B3" s="60"/>
      <c r="C3" s="62" t="s">
        <v>25</v>
      </c>
      <c r="D3" s="62"/>
      <c r="E3" s="62"/>
      <c r="F3" s="3"/>
      <c r="G3" s="3"/>
      <c r="H3" s="3"/>
      <c r="I3" s="2" t="s">
        <v>8</v>
      </c>
      <c r="J3" s="61">
        <v>42299</v>
      </c>
      <c r="K3" s="61"/>
      <c r="L3" s="13"/>
      <c r="M3" s="14"/>
    </row>
    <row r="4" spans="1:15" ht="18" customHeight="1" x14ac:dyDescent="0.25"/>
    <row r="5" spans="1:15" s="5" customFormat="1" ht="22.5" customHeight="1" x14ac:dyDescent="0.25">
      <c r="A5" s="59" t="s">
        <v>0</v>
      </c>
      <c r="B5" s="59" t="s">
        <v>9</v>
      </c>
      <c r="C5" s="63" t="s">
        <v>17</v>
      </c>
      <c r="D5" s="64" t="s">
        <v>22</v>
      </c>
      <c r="E5" s="65"/>
      <c r="F5" s="63" t="s">
        <v>23</v>
      </c>
      <c r="G5" s="63"/>
      <c r="H5"/>
      <c r="I5" s="66" t="s">
        <v>21</v>
      </c>
      <c r="J5" s="67"/>
      <c r="K5" s="68"/>
      <c r="L5" s="15"/>
      <c r="M5" s="16"/>
    </row>
    <row r="6" spans="1:15" s="5" customFormat="1" ht="32.25" customHeight="1" x14ac:dyDescent="0.25">
      <c r="A6" s="59"/>
      <c r="B6" s="59"/>
      <c r="C6" s="59"/>
      <c r="D6" s="50" t="s">
        <v>18</v>
      </c>
      <c r="E6" s="53" t="s">
        <v>2</v>
      </c>
      <c r="F6" s="49" t="s">
        <v>18</v>
      </c>
      <c r="G6" s="49" t="s">
        <v>2</v>
      </c>
      <c r="H6"/>
      <c r="I6" s="52" t="s">
        <v>18</v>
      </c>
      <c r="J6" s="52" t="s">
        <v>19</v>
      </c>
      <c r="K6" s="51" t="s">
        <v>20</v>
      </c>
      <c r="L6" s="15"/>
      <c r="M6" s="16"/>
    </row>
    <row r="7" spans="1:15" ht="20.100000000000001" customHeight="1" x14ac:dyDescent="0.25">
      <c r="A7" s="7">
        <v>1</v>
      </c>
      <c r="B7" s="38" t="s">
        <v>10</v>
      </c>
      <c r="C7" s="45">
        <v>20</v>
      </c>
      <c r="D7" s="41">
        <v>50</v>
      </c>
      <c r="E7" s="54">
        <f>D7/50</f>
        <v>1</v>
      </c>
      <c r="F7" s="23">
        <v>30</v>
      </c>
      <c r="G7" s="39">
        <f>F7/30</f>
        <v>1</v>
      </c>
      <c r="H7"/>
      <c r="I7" s="23">
        <f>SUM(D7,F7)</f>
        <v>80</v>
      </c>
      <c r="J7" s="40">
        <v>500</v>
      </c>
      <c r="K7" s="39">
        <f>I7/80</f>
        <v>1</v>
      </c>
      <c r="L7" s="11" t="s">
        <v>3</v>
      </c>
      <c r="M7" s="17">
        <v>0.8</v>
      </c>
      <c r="O7" s="4" t="s">
        <v>3</v>
      </c>
    </row>
    <row r="8" spans="1:15" ht="20.100000000000001" customHeight="1" x14ac:dyDescent="0.25">
      <c r="A8" s="20">
        <v>2</v>
      </c>
      <c r="B8" s="28" t="s">
        <v>11</v>
      </c>
      <c r="C8" s="46">
        <v>18</v>
      </c>
      <c r="D8" s="42">
        <v>50</v>
      </c>
      <c r="E8" s="55">
        <f t="shared" ref="E8:E13" si="0">D8/50</f>
        <v>1</v>
      </c>
      <c r="F8" s="24">
        <v>30</v>
      </c>
      <c r="G8" s="34">
        <f t="shared" ref="G8:G13" si="1">F8/30</f>
        <v>1</v>
      </c>
      <c r="H8"/>
      <c r="I8" s="24">
        <f t="shared" ref="I8:I13" si="2">SUM(D8,F8)</f>
        <v>80</v>
      </c>
      <c r="J8" s="30">
        <v>450</v>
      </c>
      <c r="K8" s="34">
        <f t="shared" ref="K8:K13" si="3">I8/80</f>
        <v>1</v>
      </c>
      <c r="L8" s="11" t="s">
        <v>3</v>
      </c>
      <c r="M8" s="17">
        <v>0.9</v>
      </c>
      <c r="O8" s="4" t="s">
        <v>3</v>
      </c>
    </row>
    <row r="9" spans="1:15" ht="20.100000000000001" customHeight="1" x14ac:dyDescent="0.25">
      <c r="A9" s="8">
        <v>3</v>
      </c>
      <c r="B9" s="27" t="s">
        <v>12</v>
      </c>
      <c r="C9" s="47">
        <v>34</v>
      </c>
      <c r="D9" s="43">
        <v>50</v>
      </c>
      <c r="E9" s="56">
        <f t="shared" si="0"/>
        <v>1</v>
      </c>
      <c r="F9" s="25">
        <v>30</v>
      </c>
      <c r="G9" s="33">
        <f t="shared" si="1"/>
        <v>1</v>
      </c>
      <c r="H9"/>
      <c r="I9" s="25">
        <f t="shared" si="2"/>
        <v>80</v>
      </c>
      <c r="J9" s="29">
        <v>385</v>
      </c>
      <c r="K9" s="33">
        <f t="shared" si="3"/>
        <v>1</v>
      </c>
      <c r="L9" s="11" t="s">
        <v>3</v>
      </c>
      <c r="M9" s="17">
        <v>0.85</v>
      </c>
      <c r="O9" s="4" t="s">
        <v>3</v>
      </c>
    </row>
    <row r="10" spans="1:15" ht="20.100000000000001" customHeight="1" x14ac:dyDescent="0.25">
      <c r="A10" s="20">
        <v>4</v>
      </c>
      <c r="B10" s="28" t="s">
        <v>13</v>
      </c>
      <c r="C10" s="46">
        <v>26</v>
      </c>
      <c r="D10" s="42">
        <v>50</v>
      </c>
      <c r="E10" s="55">
        <f t="shared" si="0"/>
        <v>1</v>
      </c>
      <c r="F10" s="24">
        <v>30</v>
      </c>
      <c r="G10" s="34">
        <f t="shared" si="1"/>
        <v>1</v>
      </c>
      <c r="H10"/>
      <c r="I10" s="24">
        <f t="shared" si="2"/>
        <v>80</v>
      </c>
      <c r="J10" s="30">
        <v>392</v>
      </c>
      <c r="K10" s="34">
        <f t="shared" si="3"/>
        <v>1</v>
      </c>
      <c r="L10" s="11" t="s">
        <v>4</v>
      </c>
      <c r="M10" s="17">
        <v>1</v>
      </c>
      <c r="O10" s="4" t="s">
        <v>4</v>
      </c>
    </row>
    <row r="11" spans="1:15" ht="20.100000000000001" customHeight="1" x14ac:dyDescent="0.25">
      <c r="A11" s="8">
        <v>5</v>
      </c>
      <c r="B11" s="27" t="s">
        <v>14</v>
      </c>
      <c r="C11" s="47">
        <v>40</v>
      </c>
      <c r="D11" s="43">
        <v>50</v>
      </c>
      <c r="E11" s="56">
        <f t="shared" si="0"/>
        <v>1</v>
      </c>
      <c r="F11" s="25">
        <v>30</v>
      </c>
      <c r="G11" s="33">
        <f t="shared" si="1"/>
        <v>1</v>
      </c>
      <c r="H11"/>
      <c r="I11" s="25">
        <f t="shared" si="2"/>
        <v>80</v>
      </c>
      <c r="J11" s="29">
        <v>421</v>
      </c>
      <c r="K11" s="33">
        <f t="shared" si="3"/>
        <v>1</v>
      </c>
      <c r="L11" s="11" t="s">
        <v>5</v>
      </c>
      <c r="M11" s="17">
        <v>0.65</v>
      </c>
      <c r="O11" s="4" t="s">
        <v>5</v>
      </c>
    </row>
    <row r="12" spans="1:15" ht="20.100000000000001" customHeight="1" x14ac:dyDescent="0.25">
      <c r="A12" s="20">
        <v>6</v>
      </c>
      <c r="B12" s="28" t="s">
        <v>15</v>
      </c>
      <c r="C12" s="46">
        <v>11</v>
      </c>
      <c r="D12" s="42">
        <v>50</v>
      </c>
      <c r="E12" s="55">
        <f t="shared" si="0"/>
        <v>1</v>
      </c>
      <c r="F12" s="24">
        <v>30</v>
      </c>
      <c r="G12" s="34">
        <f t="shared" si="1"/>
        <v>1</v>
      </c>
      <c r="H12"/>
      <c r="I12" s="24">
        <f t="shared" si="2"/>
        <v>80</v>
      </c>
      <c r="J12" s="30">
        <v>462</v>
      </c>
      <c r="K12" s="34">
        <f t="shared" si="3"/>
        <v>1</v>
      </c>
      <c r="L12" s="11" t="s">
        <v>3</v>
      </c>
      <c r="M12" s="17">
        <v>0.84</v>
      </c>
      <c r="O12" s="4" t="s">
        <v>3</v>
      </c>
    </row>
    <row r="13" spans="1:15" ht="20.100000000000001" customHeight="1" x14ac:dyDescent="0.25">
      <c r="A13" s="9">
        <v>7</v>
      </c>
      <c r="B13" s="35" t="s">
        <v>16</v>
      </c>
      <c r="C13" s="48">
        <v>19</v>
      </c>
      <c r="D13" s="44">
        <v>50</v>
      </c>
      <c r="E13" s="57">
        <f t="shared" si="0"/>
        <v>1</v>
      </c>
      <c r="F13" s="26">
        <v>30</v>
      </c>
      <c r="G13" s="36">
        <f t="shared" si="1"/>
        <v>1</v>
      </c>
      <c r="H13"/>
      <c r="I13" s="26">
        <f t="shared" si="2"/>
        <v>80</v>
      </c>
      <c r="J13" s="37">
        <v>401</v>
      </c>
      <c r="K13" s="36">
        <f t="shared" si="3"/>
        <v>1</v>
      </c>
      <c r="L13" s="11" t="s">
        <v>6</v>
      </c>
      <c r="M13" s="18">
        <v>0.82</v>
      </c>
      <c r="O13" s="4" t="s">
        <v>6</v>
      </c>
    </row>
    <row r="14" spans="1:15" ht="14.25" customHeight="1" x14ac:dyDescent="0.25">
      <c r="C14" s="19"/>
      <c r="H14"/>
      <c r="K14" s="10"/>
    </row>
    <row r="15" spans="1:15" ht="21" customHeight="1" x14ac:dyDescent="0.25">
      <c r="A15" s="59" t="s">
        <v>7</v>
      </c>
      <c r="B15" s="59"/>
      <c r="C15" s="31">
        <f>AVERAGE(C7:C13)</f>
        <v>24</v>
      </c>
      <c r="D15" s="21">
        <f t="shared" ref="D15:G15" si="4">AVERAGE(D7:D13)</f>
        <v>50</v>
      </c>
      <c r="E15" s="22">
        <f t="shared" si="4"/>
        <v>1</v>
      </c>
      <c r="F15" s="21">
        <f t="shared" si="4"/>
        <v>30</v>
      </c>
      <c r="G15" s="22">
        <f t="shared" si="4"/>
        <v>1</v>
      </c>
      <c r="H15"/>
      <c r="I15" s="21">
        <f t="shared" ref="I15:K15" si="5">AVERAGE(I7:I13)</f>
        <v>80</v>
      </c>
      <c r="J15" s="32">
        <f t="shared" si="5"/>
        <v>430.14285714285717</v>
      </c>
      <c r="K15" s="22">
        <f t="shared" si="5"/>
        <v>1</v>
      </c>
    </row>
  </sheetData>
  <mergeCells count="11">
    <mergeCell ref="A1:K1"/>
    <mergeCell ref="B5:B6"/>
    <mergeCell ref="A3:B3"/>
    <mergeCell ref="A15:B15"/>
    <mergeCell ref="J3:K3"/>
    <mergeCell ref="C3:E3"/>
    <mergeCell ref="C5:C6"/>
    <mergeCell ref="F5:G5"/>
    <mergeCell ref="A5:A6"/>
    <mergeCell ref="D5:E5"/>
    <mergeCell ref="I5:K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9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2016-01-24T22:19:39Z</dcterms:modified>
</cp:coreProperties>
</file>