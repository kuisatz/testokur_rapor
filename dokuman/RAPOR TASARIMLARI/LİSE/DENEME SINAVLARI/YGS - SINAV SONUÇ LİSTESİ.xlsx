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AG25" i="1" l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27" i="1" l="1"/>
  <c r="AA27" i="1"/>
  <c r="AB27" i="1"/>
  <c r="AC27" i="1"/>
  <c r="AD27" i="1"/>
  <c r="AE27" i="1"/>
  <c r="AF27" i="1"/>
  <c r="V27" i="1"/>
  <c r="U27" i="1"/>
  <c r="T27" i="1"/>
  <c r="S27" i="1"/>
  <c r="N27" i="1"/>
  <c r="M27" i="1"/>
  <c r="L27" i="1"/>
  <c r="K27" i="1"/>
  <c r="R27" i="1"/>
  <c r="Q27" i="1"/>
  <c r="P27" i="1"/>
  <c r="O27" i="1"/>
  <c r="Z27" i="1"/>
  <c r="Y27" i="1"/>
  <c r="X27" i="1"/>
  <c r="W27" i="1"/>
  <c r="H27" i="1" l="1"/>
  <c r="I27" i="1"/>
  <c r="J27" i="1"/>
  <c r="G27" i="1"/>
</calcChain>
</file>

<file path=xl/sharedStrings.xml><?xml version="1.0" encoding="utf-8"?>
<sst xmlns="http://schemas.openxmlformats.org/spreadsheetml/2006/main" count="106" uniqueCount="54">
  <si>
    <t>Sıra</t>
  </si>
  <si>
    <t>Öğr. No</t>
  </si>
  <si>
    <t>Sınıf</t>
  </si>
  <si>
    <t>ASLI KAVAKLI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</si>
  <si>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</si>
  <si>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</si>
  <si>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</si>
  <si>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</si>
  <si>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</si>
  <si>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</si>
  <si>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</si>
  <si>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</si>
  <si>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</si>
  <si>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</si>
  <si>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</si>
  <si>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</si>
  <si>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</si>
  <si>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SEMANUR GÜLCAN</t>
  </si>
  <si>
    <t>VURAL DÜZCE</t>
  </si>
  <si>
    <t>HÜSEYİN SEVİNÇ</t>
  </si>
  <si>
    <t>SEDAT DİLMEN</t>
  </si>
  <si>
    <t>A</t>
  </si>
  <si>
    <t>7/A</t>
  </si>
  <si>
    <t>Genel
Sıra</t>
  </si>
  <si>
    <t>Kit.T.</t>
  </si>
  <si>
    <t>Sınav Adı</t>
  </si>
  <si>
    <t>Sınav Tarihi</t>
  </si>
  <si>
    <t>:</t>
  </si>
  <si>
    <t>Sınıf :</t>
  </si>
  <si>
    <t>Şube :</t>
  </si>
  <si>
    <t xml:space="preserve">ORTALAMALAR :    </t>
  </si>
  <si>
    <t>Adı - Soyadı</t>
  </si>
  <si>
    <t>B</t>
  </si>
  <si>
    <t>D</t>
  </si>
  <si>
    <t>Y</t>
  </si>
  <si>
    <t>N</t>
  </si>
  <si>
    <t>TÜRKÇE</t>
  </si>
  <si>
    <t>SOSYAL BİLİMLER</t>
  </si>
  <si>
    <t>FEN BİLİMLERİ</t>
  </si>
  <si>
    <t>TOPLAM</t>
  </si>
  <si>
    <t>YGS-1</t>
  </si>
  <si>
    <t>YGS-2</t>
  </si>
  <si>
    <t>YGS-3</t>
  </si>
  <si>
    <t>YGS-4</t>
  </si>
  <si>
    <t>YGS-5</t>
  </si>
  <si>
    <t>YGS-6</t>
  </si>
  <si>
    <t>YGS - 1. DENEME</t>
  </si>
  <si>
    <t>Başarı
(%)</t>
  </si>
  <si>
    <t>TEMEL MATEMATİK</t>
  </si>
  <si>
    <t>YGS SINAV SONUÇ LİSTESİ</t>
  </si>
  <si>
    <t>Sınıf
Sıra</t>
  </si>
  <si>
    <t>Okul
Sıra</t>
  </si>
  <si>
    <t>İlçe
Sıra</t>
  </si>
  <si>
    <t>İl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</si>
</sst>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0.000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4" fillId="0" borderId="0" xfId="0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5" fontId="4" fillId="3" borderId="10" xfId="1" applyNumberFormat="1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2" fontId="4" fillId="3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2" fontId="4" fillId="3" borderId="11" xfId="1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 indent="1"/>
    </xf>
    <xf numFmtId="0" fontId="4" fillId="0" borderId="3" xfId="1" applyFont="1" applyBorder="1" applyAlignment="1">
      <alignment horizontal="left" vertical="center" indent="1"/>
    </xf>
    <xf numFmtId="0" fontId="2" fillId="2" borderId="18" xfId="0" applyFont="1" applyFill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165" fontId="4" fillId="3" borderId="13" xfId="1" applyNumberFormat="1" applyFont="1" applyFill="1" applyBorder="1" applyAlignment="1">
      <alignment horizontal="center" vertical="center"/>
    </xf>
    <xf numFmtId="165" fontId="4" fillId="0" borderId="13" xfId="1" applyNumberFormat="1" applyFont="1" applyBorder="1" applyAlignment="1">
      <alignment horizontal="center" vertical="center"/>
    </xf>
    <xf numFmtId="165" fontId="4" fillId="3" borderId="14" xfId="1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166" fontId="4" fillId="0" borderId="20" xfId="1" applyNumberFormat="1" applyFont="1" applyBorder="1" applyAlignment="1">
      <alignment horizontal="center" vertical="center"/>
    </xf>
    <xf numFmtId="166" fontId="4" fillId="3" borderId="21" xfId="1" applyNumberFormat="1" applyFont="1" applyFill="1" applyBorder="1" applyAlignment="1">
      <alignment horizontal="center" vertical="center"/>
    </xf>
    <xf numFmtId="166" fontId="4" fillId="0" borderId="21" xfId="1" applyNumberFormat="1" applyFont="1" applyBorder="1" applyAlignment="1">
      <alignment horizontal="center" vertical="center"/>
    </xf>
    <xf numFmtId="166" fontId="4" fillId="3" borderId="22" xfId="1" applyNumberFormat="1" applyFont="1" applyFill="1" applyBorder="1" applyAlignment="1">
      <alignment horizontal="center" vertical="center"/>
    </xf>
    <xf numFmtId="1" fontId="4" fillId="0" borderId="15" xfId="1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/>
    </xf>
    <xf numFmtId="1" fontId="4" fillId="3" borderId="16" xfId="1" applyNumberFormat="1" applyFont="1" applyFill="1" applyBorder="1" applyAlignment="1">
      <alignment horizontal="center" vertical="center"/>
    </xf>
    <xf numFmtId="1" fontId="4" fillId="3" borderId="4" xfId="1" applyNumberFormat="1" applyFont="1" applyFill="1" applyBorder="1" applyAlignment="1">
      <alignment horizontal="center" vertical="center"/>
    </xf>
    <xf numFmtId="1" fontId="4" fillId="3" borderId="8" xfId="1" applyNumberFormat="1" applyFont="1" applyFill="1" applyBorder="1" applyAlignment="1">
      <alignment horizontal="center" vertical="center"/>
    </xf>
    <xf numFmtId="1" fontId="4" fillId="0" borderId="16" xfId="1" applyNumberFormat="1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1" fontId="4" fillId="0" borderId="8" xfId="1" applyNumberFormat="1" applyFont="1" applyBorder="1" applyAlignment="1">
      <alignment horizontal="center" vertical="center"/>
    </xf>
    <xf numFmtId="1" fontId="4" fillId="3" borderId="17" xfId="1" applyNumberFormat="1" applyFont="1" applyFill="1" applyBorder="1" applyAlignment="1">
      <alignment horizontal="center" vertical="center"/>
    </xf>
    <xf numFmtId="1" fontId="4" fillId="3" borderId="10" xfId="1" applyNumberFormat="1" applyFont="1" applyFill="1" applyBorder="1" applyAlignment="1">
      <alignment horizontal="center" vertical="center"/>
    </xf>
    <xf numFmtId="1" fontId="4" fillId="3" borderId="1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FFCC66"/>
      <color rgb="FFFFFF99"/>
      <color rgb="FFFF9900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8"/>
  <sheetViews>
    <sheetView tabSelected="1" zoomScale="85" zoomScaleNormal="85" workbookViewId="0">
      <selection activeCell="AK16" sqref="AK16"/>
    </sheetView>
  </sheetViews>
  <sheetFormatPr defaultRowHeight="15" x14ac:dyDescent="0.25"/>
  <cols>
    <col min="1" max="1" width="4.140625" style="3" bestFit="1" customWidth="1"/>
    <col min="2" max="2" width="9" style="4" bestFit="1" customWidth="1"/>
    <col min="3" max="3" width="1.140625" style="4" customWidth="1"/>
    <col min="4" max="4" width="22.140625" style="4" bestFit="1" customWidth="1"/>
    <col min="5" max="6" width="6.7109375" style="3" customWidth="1"/>
    <col min="7" max="22" width="5.7109375" style="3" customWidth="1"/>
    <col min="23" max="23" width="6.5703125" style="3" bestFit="1" customWidth="1"/>
    <col min="24" max="25" width="5.7109375" style="3" customWidth="1"/>
    <col min="26" max="26" width="6.7109375" style="3" customWidth="1"/>
    <col min="27" max="33" width="7.7109375" style="3" customWidth="1"/>
    <col min="34" max="34" width="5" style="3" bestFit="1" customWidth="1"/>
    <col min="35" max="35" width="5.140625" style="3" bestFit="1" customWidth="1"/>
    <col min="36" max="36" width="4.28515625" style="3" bestFit="1" customWidth="1"/>
    <col min="37" max="38" width="6.28515625" style="3" customWidth="1"/>
    <col min="39" max="16384" width="9.140625" style="1"/>
  </cols>
  <sheetData>
    <row r="1" spans="1:38" ht="23.25" customHeight="1" x14ac:dyDescent="0.25">
      <c r="A1" s="49" t="s">
        <v>49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</row>
    <row r="2" spans="1:38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2"/>
      <c r="AL2" s="2"/>
    </row>
    <row r="3" spans="1:38" ht="15" customHeight="1" x14ac:dyDescent="0.25">
      <c r="A3" s="20" t="s">
        <v>25</v>
      </c>
      <c r="B3" s="20"/>
      <c r="C3" s="20" t="s">
        <v>27</v>
      </c>
      <c r="D3" s="22" t="s">
        <v>46</v>
      </c>
      <c r="E3" s="22"/>
      <c r="F3" s="22"/>
      <c r="G3" s="22"/>
      <c r="H3" s="2"/>
      <c r="I3" s="2"/>
      <c r="J3" s="1"/>
      <c r="K3" s="1"/>
      <c r="L3" s="1"/>
      <c r="M3" s="1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1"/>
      <c r="AB3" s="21"/>
      <c r="AC3" s="21"/>
      <c r="AD3" s="21"/>
      <c r="AE3" s="21"/>
      <c r="AG3" s="27"/>
      <c r="AH3" s="27"/>
      <c r="AI3" s="27"/>
      <c r="AJ3" s="27"/>
      <c r="AK3" s="27" t="s">
        <v>28</v>
      </c>
      <c r="AL3" s="29">
        <v>12</v>
      </c>
    </row>
    <row r="4" spans="1:38" ht="15" customHeight="1" x14ac:dyDescent="0.25">
      <c r="A4" s="50" t="s">
        <v>26</v>
      </c>
      <c r="B4" s="50"/>
      <c r="C4" s="20" t="s">
        <v>27</v>
      </c>
      <c r="D4" s="51">
        <v>42330</v>
      </c>
      <c r="E4" s="51"/>
      <c r="F4" s="51"/>
      <c r="G4" s="51"/>
      <c r="H4" s="2"/>
      <c r="I4" s="2"/>
      <c r="J4" s="1"/>
      <c r="K4" s="1"/>
      <c r="L4" s="1"/>
      <c r="M4" s="1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1"/>
      <c r="AB4" s="21"/>
      <c r="AC4" s="21"/>
      <c r="AD4" s="21"/>
      <c r="AE4" s="21"/>
      <c r="AG4" s="27"/>
      <c r="AH4" s="27"/>
      <c r="AI4" s="27"/>
      <c r="AJ4" s="27"/>
      <c r="AK4" s="27" t="s">
        <v>29</v>
      </c>
      <c r="AL4" s="29" t="s">
        <v>21</v>
      </c>
    </row>
    <row r="5" spans="1:38" ht="15" customHeight="1" x14ac:dyDescent="0.25">
      <c r="A5" s="27"/>
      <c r="B5" s="27"/>
      <c r="C5" s="20"/>
      <c r="D5" s="34"/>
      <c r="E5" s="34"/>
      <c r="F5" s="34"/>
      <c r="G5" s="34"/>
      <c r="J5" s="27"/>
      <c r="K5" s="27"/>
      <c r="L5" s="27"/>
      <c r="M5" s="29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1"/>
      <c r="AB5" s="21"/>
      <c r="AC5" s="21"/>
      <c r="AD5" s="21"/>
      <c r="AE5" s="21"/>
      <c r="AF5" s="21"/>
      <c r="AG5" s="27"/>
      <c r="AH5" s="27"/>
      <c r="AI5" s="27"/>
      <c r="AJ5" s="27"/>
      <c r="AL5" s="28"/>
    </row>
    <row r="6" spans="1:38" ht="20.100000000000001" customHeight="1" x14ac:dyDescent="0.25">
      <c r="A6" s="48" t="s">
        <v>0</v>
      </c>
      <c r="B6" s="48" t="s">
        <v>1</v>
      </c>
      <c r="C6" s="48" t="s">
        <v>31</v>
      </c>
      <c r="D6" s="48"/>
      <c r="E6" s="48" t="s">
        <v>2</v>
      </c>
      <c r="F6" s="52" t="s">
        <v>24</v>
      </c>
      <c r="G6" s="48" t="s">
        <v>36</v>
      </c>
      <c r="H6" s="48"/>
      <c r="I6" s="48"/>
      <c r="J6" s="48"/>
      <c r="K6" s="48" t="s">
        <v>37</v>
      </c>
      <c r="L6" s="48"/>
      <c r="M6" s="48"/>
      <c r="N6" s="48"/>
      <c r="O6" s="48" t="s">
        <v>48</v>
      </c>
      <c r="P6" s="48"/>
      <c r="Q6" s="48"/>
      <c r="R6" s="48"/>
      <c r="S6" s="48" t="s">
        <v>38</v>
      </c>
      <c r="T6" s="48"/>
      <c r="U6" s="48"/>
      <c r="V6" s="48"/>
      <c r="W6" s="48" t="s">
        <v>39</v>
      </c>
      <c r="X6" s="48"/>
      <c r="Y6" s="48"/>
      <c r="Z6" s="48"/>
      <c r="AA6" s="48" t="s">
        <v>40</v>
      </c>
      <c r="AB6" s="48" t="s">
        <v>41</v>
      </c>
      <c r="AC6" s="48" t="s">
        <v>42</v>
      </c>
      <c r="AD6" s="48" t="s">
        <v>43</v>
      </c>
      <c r="AE6" s="48" t="s">
        <v>44</v>
      </c>
      <c r="AF6" s="58" t="s">
        <v>45</v>
      </c>
      <c r="AG6" s="52" t="s">
        <v>47</v>
      </c>
      <c r="AH6" s="63" t="s">
        <v>50</v>
      </c>
      <c r="AI6" s="52" t="s">
        <v>51</v>
      </c>
      <c r="AJ6" s="52" t="s">
        <v>52</v>
      </c>
      <c r="AK6" s="52" t="s">
        <v>53</v>
      </c>
      <c r="AL6" s="52" t="s">
        <v>23</v>
      </c>
    </row>
    <row r="7" spans="1:38" s="5" customFormat="1" ht="20.100000000000001" customHeight="1" x14ac:dyDescent="0.25">
      <c r="A7" s="48"/>
      <c r="B7" s="48"/>
      <c r="C7" s="48"/>
      <c r="D7" s="48"/>
      <c r="E7" s="48"/>
      <c r="F7" s="52"/>
      <c r="G7" s="13" t="s">
        <v>33</v>
      </c>
      <c r="H7" s="13" t="s">
        <v>34</v>
      </c>
      <c r="I7" s="13" t="s">
        <v>32</v>
      </c>
      <c r="J7" s="12" t="s">
        <v>35</v>
      </c>
      <c r="K7" s="13" t="s">
        <v>33</v>
      </c>
      <c r="L7" s="13" t="s">
        <v>34</v>
      </c>
      <c r="M7" s="13" t="s">
        <v>32</v>
      </c>
      <c r="N7" s="12" t="s">
        <v>35</v>
      </c>
      <c r="O7" s="13" t="s">
        <v>33</v>
      </c>
      <c r="P7" s="13" t="s">
        <v>34</v>
      </c>
      <c r="Q7" s="13" t="s">
        <v>32</v>
      </c>
      <c r="R7" s="12" t="s">
        <v>35</v>
      </c>
      <c r="S7" s="13" t="s">
        <v>33</v>
      </c>
      <c r="T7" s="13" t="s">
        <v>34</v>
      </c>
      <c r="U7" s="13" t="s">
        <v>32</v>
      </c>
      <c r="V7" s="12" t="s">
        <v>35</v>
      </c>
      <c r="W7" s="13" t="s">
        <v>33</v>
      </c>
      <c r="X7" s="13" t="s">
        <v>34</v>
      </c>
      <c r="Y7" s="13" t="s">
        <v>32</v>
      </c>
      <c r="Z7" s="12" t="s">
        <v>35</v>
      </c>
      <c r="AA7" s="48"/>
      <c r="AB7" s="48"/>
      <c r="AC7" s="48"/>
      <c r="AD7" s="48"/>
      <c r="AE7" s="48"/>
      <c r="AF7" s="58"/>
      <c r="AG7" s="52"/>
      <c r="AH7" s="63"/>
      <c r="AI7" s="52"/>
      <c r="AJ7" s="52"/>
      <c r="AK7" s="52"/>
      <c r="AL7" s="52"/>
    </row>
    <row r="8" spans="1:38" ht="20.100000000000001" customHeight="1" x14ac:dyDescent="0.25">
      <c r="A8" s="6">
        <v>1</v>
      </c>
      <c r="B8" s="26">
        <v>61</v>
      </c>
      <c r="C8" s="57" t="s">
        <v>3</v>
      </c>
      <c r="D8" s="57"/>
      <c r="E8" s="7" t="s">
        <v>22</v>
      </c>
      <c r="F8" s="35" t="s">
        <v>21</v>
      </c>
      <c r="G8" s="39">
        <v>40</v>
      </c>
      <c r="H8" s="7">
        <v>0</v>
      </c>
      <c r="I8" s="7">
        <v>0</v>
      </c>
      <c r="J8" s="40">
        <v>40</v>
      </c>
      <c r="K8" s="39">
        <v>40</v>
      </c>
      <c r="L8" s="7">
        <v>0</v>
      </c>
      <c r="M8" s="7">
        <v>0</v>
      </c>
      <c r="N8" s="40">
        <v>40</v>
      </c>
      <c r="O8" s="39">
        <v>40</v>
      </c>
      <c r="P8" s="7">
        <v>0</v>
      </c>
      <c r="Q8" s="7">
        <v>0</v>
      </c>
      <c r="R8" s="40">
        <v>40</v>
      </c>
      <c r="S8" s="39">
        <v>40</v>
      </c>
      <c r="T8" s="7">
        <v>0</v>
      </c>
      <c r="U8" s="7">
        <v>0</v>
      </c>
      <c r="V8" s="40">
        <v>40</v>
      </c>
      <c r="W8" s="39">
        <v>160</v>
      </c>
      <c r="X8" s="7">
        <v>0</v>
      </c>
      <c r="Y8" s="7">
        <v>0</v>
      </c>
      <c r="Z8" s="40">
        <v>160</v>
      </c>
      <c r="AA8" s="30">
        <v>500</v>
      </c>
      <c r="AB8" s="30">
        <v>500</v>
      </c>
      <c r="AC8" s="30">
        <v>500</v>
      </c>
      <c r="AD8" s="30">
        <v>500</v>
      </c>
      <c r="AE8" s="30">
        <v>500</v>
      </c>
      <c r="AF8" s="59">
        <v>500</v>
      </c>
      <c r="AG8" s="64">
        <f>Z8/160</f>
        <v>1</v>
      </c>
      <c r="AH8" s="68">
        <v>10</v>
      </c>
      <c r="AI8" s="68">
        <v>10</v>
      </c>
      <c r="AJ8" s="68">
        <v>10</v>
      </c>
      <c r="AK8" s="69">
        <v>1</v>
      </c>
      <c r="AL8" s="70">
        <v>1</v>
      </c>
    </row>
    <row r="9" spans="1:38" ht="20.100000000000001" customHeight="1" x14ac:dyDescent="0.25">
      <c r="A9" s="14">
        <v>2</v>
      </c>
      <c r="B9" s="23">
        <v>107</v>
      </c>
      <c r="C9" s="53" t="s">
        <v>4</v>
      </c>
      <c r="D9" s="53"/>
      <c r="E9" s="15" t="s">
        <v>22</v>
      </c>
      <c r="F9" s="36" t="s">
        <v>21</v>
      </c>
      <c r="G9" s="41">
        <v>40</v>
      </c>
      <c r="H9" s="15">
        <v>0</v>
      </c>
      <c r="I9" s="15">
        <v>0</v>
      </c>
      <c r="J9" s="42">
        <v>40</v>
      </c>
      <c r="K9" s="41">
        <v>40</v>
      </c>
      <c r="L9" s="15">
        <v>0</v>
      </c>
      <c r="M9" s="15">
        <v>0</v>
      </c>
      <c r="N9" s="42">
        <v>40</v>
      </c>
      <c r="O9" s="41">
        <v>40</v>
      </c>
      <c r="P9" s="15">
        <v>0</v>
      </c>
      <c r="Q9" s="15">
        <v>0</v>
      </c>
      <c r="R9" s="42">
        <v>40</v>
      </c>
      <c r="S9" s="41">
        <v>40</v>
      </c>
      <c r="T9" s="15">
        <v>0</v>
      </c>
      <c r="U9" s="15">
        <v>0</v>
      </c>
      <c r="V9" s="42">
        <v>40</v>
      </c>
      <c r="W9" s="41">
        <v>160</v>
      </c>
      <c r="X9" s="15">
        <v>0</v>
      </c>
      <c r="Y9" s="15">
        <v>0</v>
      </c>
      <c r="Z9" s="42">
        <v>160</v>
      </c>
      <c r="AA9" s="31">
        <v>500</v>
      </c>
      <c r="AB9" s="31">
        <v>500</v>
      </c>
      <c r="AC9" s="31">
        <v>500</v>
      </c>
      <c r="AD9" s="31">
        <v>500</v>
      </c>
      <c r="AE9" s="31">
        <v>500</v>
      </c>
      <c r="AF9" s="60">
        <v>500</v>
      </c>
      <c r="AG9" s="65">
        <f t="shared" ref="AG9:AG25" si="0">Z9/160</f>
        <v>1</v>
      </c>
      <c r="AH9" s="71">
        <v>10</v>
      </c>
      <c r="AI9" s="71">
        <v>10</v>
      </c>
      <c r="AJ9" s="71">
        <v>10</v>
      </c>
      <c r="AK9" s="72">
        <v>2</v>
      </c>
      <c r="AL9" s="73">
        <v>3</v>
      </c>
    </row>
    <row r="10" spans="1:38" ht="20.100000000000001" customHeight="1" x14ac:dyDescent="0.25">
      <c r="A10" s="8">
        <v>3</v>
      </c>
      <c r="B10" s="24">
        <v>116</v>
      </c>
      <c r="C10" s="54" t="s">
        <v>5</v>
      </c>
      <c r="D10" s="54"/>
      <c r="E10" s="9" t="s">
        <v>22</v>
      </c>
      <c r="F10" s="37" t="s">
        <v>32</v>
      </c>
      <c r="G10" s="43">
        <v>40</v>
      </c>
      <c r="H10" s="9">
        <v>0</v>
      </c>
      <c r="I10" s="9">
        <v>0</v>
      </c>
      <c r="J10" s="44">
        <v>40</v>
      </c>
      <c r="K10" s="43">
        <v>40</v>
      </c>
      <c r="L10" s="9">
        <v>0</v>
      </c>
      <c r="M10" s="9">
        <v>0</v>
      </c>
      <c r="N10" s="44">
        <v>40</v>
      </c>
      <c r="O10" s="43">
        <v>40</v>
      </c>
      <c r="P10" s="9">
        <v>0</v>
      </c>
      <c r="Q10" s="9">
        <v>0</v>
      </c>
      <c r="R10" s="44">
        <v>40</v>
      </c>
      <c r="S10" s="43">
        <v>40</v>
      </c>
      <c r="T10" s="9">
        <v>0</v>
      </c>
      <c r="U10" s="9">
        <v>0</v>
      </c>
      <c r="V10" s="44">
        <v>40</v>
      </c>
      <c r="W10" s="43">
        <v>160</v>
      </c>
      <c r="X10" s="9">
        <v>0</v>
      </c>
      <c r="Y10" s="9">
        <v>0</v>
      </c>
      <c r="Z10" s="44">
        <v>160</v>
      </c>
      <c r="AA10" s="32">
        <v>500</v>
      </c>
      <c r="AB10" s="32">
        <v>500</v>
      </c>
      <c r="AC10" s="32">
        <v>500</v>
      </c>
      <c r="AD10" s="32">
        <v>500</v>
      </c>
      <c r="AE10" s="32">
        <v>500</v>
      </c>
      <c r="AF10" s="61">
        <v>500</v>
      </c>
      <c r="AG10" s="66">
        <f t="shared" si="0"/>
        <v>1</v>
      </c>
      <c r="AH10" s="74">
        <v>10</v>
      </c>
      <c r="AI10" s="74">
        <v>10</v>
      </c>
      <c r="AJ10" s="74">
        <v>10</v>
      </c>
      <c r="AK10" s="75">
        <v>3</v>
      </c>
      <c r="AL10" s="76">
        <v>7</v>
      </c>
    </row>
    <row r="11" spans="1:38" ht="20.100000000000001" customHeight="1" x14ac:dyDescent="0.25">
      <c r="A11" s="14">
        <v>4</v>
      </c>
      <c r="B11" s="23">
        <v>78</v>
      </c>
      <c r="C11" s="53" t="s">
        <v>6</v>
      </c>
      <c r="D11" s="53"/>
      <c r="E11" s="15" t="s">
        <v>22</v>
      </c>
      <c r="F11" s="36" t="s">
        <v>21</v>
      </c>
      <c r="G11" s="41">
        <v>40</v>
      </c>
      <c r="H11" s="15">
        <v>0</v>
      </c>
      <c r="I11" s="15">
        <v>0</v>
      </c>
      <c r="J11" s="42">
        <v>40</v>
      </c>
      <c r="K11" s="41">
        <v>40</v>
      </c>
      <c r="L11" s="15">
        <v>0</v>
      </c>
      <c r="M11" s="15">
        <v>0</v>
      </c>
      <c r="N11" s="42">
        <v>40</v>
      </c>
      <c r="O11" s="41">
        <v>40</v>
      </c>
      <c r="P11" s="15">
        <v>0</v>
      </c>
      <c r="Q11" s="15">
        <v>0</v>
      </c>
      <c r="R11" s="42">
        <v>40</v>
      </c>
      <c r="S11" s="41">
        <v>40</v>
      </c>
      <c r="T11" s="15">
        <v>0</v>
      </c>
      <c r="U11" s="15">
        <v>0</v>
      </c>
      <c r="V11" s="42">
        <v>40</v>
      </c>
      <c r="W11" s="41">
        <v>160</v>
      </c>
      <c r="X11" s="15">
        <v>0</v>
      </c>
      <c r="Y11" s="15">
        <v>0</v>
      </c>
      <c r="Z11" s="42">
        <v>160</v>
      </c>
      <c r="AA11" s="31">
        <v>500</v>
      </c>
      <c r="AB11" s="31">
        <v>500</v>
      </c>
      <c r="AC11" s="31">
        <v>500</v>
      </c>
      <c r="AD11" s="31">
        <v>500</v>
      </c>
      <c r="AE11" s="31">
        <v>500</v>
      </c>
      <c r="AF11" s="60">
        <v>500</v>
      </c>
      <c r="AG11" s="65">
        <f t="shared" si="0"/>
        <v>1</v>
      </c>
      <c r="AH11" s="71">
        <v>10</v>
      </c>
      <c r="AI11" s="71">
        <v>10</v>
      </c>
      <c r="AJ11" s="71">
        <v>10</v>
      </c>
      <c r="AK11" s="72">
        <v>4</v>
      </c>
      <c r="AL11" s="73">
        <v>8</v>
      </c>
    </row>
    <row r="12" spans="1:38" ht="20.100000000000001" customHeight="1" x14ac:dyDescent="0.25">
      <c r="A12" s="8">
        <v>5</v>
      </c>
      <c r="B12" s="24">
        <v>99</v>
      </c>
      <c r="C12" s="54" t="s">
        <v>7</v>
      </c>
      <c r="D12" s="54"/>
      <c r="E12" s="9" t="s">
        <v>22</v>
      </c>
      <c r="F12" s="37" t="s">
        <v>21</v>
      </c>
      <c r="G12" s="43">
        <v>40</v>
      </c>
      <c r="H12" s="9">
        <v>0</v>
      </c>
      <c r="I12" s="9">
        <v>0</v>
      </c>
      <c r="J12" s="44">
        <v>40</v>
      </c>
      <c r="K12" s="43">
        <v>40</v>
      </c>
      <c r="L12" s="9">
        <v>0</v>
      </c>
      <c r="M12" s="9">
        <v>0</v>
      </c>
      <c r="N12" s="44">
        <v>40</v>
      </c>
      <c r="O12" s="43">
        <v>40</v>
      </c>
      <c r="P12" s="9">
        <v>0</v>
      </c>
      <c r="Q12" s="9">
        <v>0</v>
      </c>
      <c r="R12" s="44">
        <v>40</v>
      </c>
      <c r="S12" s="43">
        <v>40</v>
      </c>
      <c r="T12" s="9">
        <v>0</v>
      </c>
      <c r="U12" s="9">
        <v>0</v>
      </c>
      <c r="V12" s="44">
        <v>40</v>
      </c>
      <c r="W12" s="43">
        <v>160</v>
      </c>
      <c r="X12" s="9">
        <v>0</v>
      </c>
      <c r="Y12" s="9">
        <v>0</v>
      </c>
      <c r="Z12" s="44">
        <v>160</v>
      </c>
      <c r="AA12" s="32">
        <v>500</v>
      </c>
      <c r="AB12" s="32">
        <v>500</v>
      </c>
      <c r="AC12" s="32">
        <v>500</v>
      </c>
      <c r="AD12" s="32">
        <v>500</v>
      </c>
      <c r="AE12" s="32">
        <v>500</v>
      </c>
      <c r="AF12" s="61">
        <v>500</v>
      </c>
      <c r="AG12" s="66">
        <f t="shared" si="0"/>
        <v>1</v>
      </c>
      <c r="AH12" s="74">
        <v>10</v>
      </c>
      <c r="AI12" s="74">
        <v>10</v>
      </c>
      <c r="AJ12" s="74">
        <v>10</v>
      </c>
      <c r="AK12" s="75">
        <v>5</v>
      </c>
      <c r="AL12" s="76">
        <v>10</v>
      </c>
    </row>
    <row r="13" spans="1:38" ht="20.100000000000001" customHeight="1" x14ac:dyDescent="0.25">
      <c r="A13" s="14">
        <v>6</v>
      </c>
      <c r="B13" s="23">
        <v>106</v>
      </c>
      <c r="C13" s="53" t="s">
        <v>8</v>
      </c>
      <c r="D13" s="53"/>
      <c r="E13" s="15" t="s">
        <v>22</v>
      </c>
      <c r="F13" s="36" t="s">
        <v>32</v>
      </c>
      <c r="G13" s="41">
        <v>40</v>
      </c>
      <c r="H13" s="15">
        <v>0</v>
      </c>
      <c r="I13" s="15">
        <v>0</v>
      </c>
      <c r="J13" s="42">
        <v>40</v>
      </c>
      <c r="K13" s="41">
        <v>40</v>
      </c>
      <c r="L13" s="15">
        <v>0</v>
      </c>
      <c r="M13" s="15">
        <v>0</v>
      </c>
      <c r="N13" s="42">
        <v>40</v>
      </c>
      <c r="O13" s="41">
        <v>40</v>
      </c>
      <c r="P13" s="15">
        <v>0</v>
      </c>
      <c r="Q13" s="15">
        <v>0</v>
      </c>
      <c r="R13" s="42">
        <v>40</v>
      </c>
      <c r="S13" s="41">
        <v>40</v>
      </c>
      <c r="T13" s="15">
        <v>0</v>
      </c>
      <c r="U13" s="15">
        <v>0</v>
      </c>
      <c r="V13" s="42">
        <v>40</v>
      </c>
      <c r="W13" s="41">
        <v>160</v>
      </c>
      <c r="X13" s="15">
        <v>0</v>
      </c>
      <c r="Y13" s="15">
        <v>0</v>
      </c>
      <c r="Z13" s="42">
        <v>160</v>
      </c>
      <c r="AA13" s="31">
        <v>500</v>
      </c>
      <c r="AB13" s="31">
        <v>500</v>
      </c>
      <c r="AC13" s="31">
        <v>500</v>
      </c>
      <c r="AD13" s="31">
        <v>500</v>
      </c>
      <c r="AE13" s="31">
        <v>500</v>
      </c>
      <c r="AF13" s="60">
        <v>500</v>
      </c>
      <c r="AG13" s="65">
        <f t="shared" si="0"/>
        <v>1</v>
      </c>
      <c r="AH13" s="71">
        <v>10</v>
      </c>
      <c r="AI13" s="71">
        <v>10</v>
      </c>
      <c r="AJ13" s="71">
        <v>10</v>
      </c>
      <c r="AK13" s="72">
        <v>6</v>
      </c>
      <c r="AL13" s="73">
        <v>14</v>
      </c>
    </row>
    <row r="14" spans="1:38" ht="20.100000000000001" customHeight="1" x14ac:dyDescent="0.25">
      <c r="A14" s="8">
        <v>7</v>
      </c>
      <c r="B14" s="24">
        <v>110</v>
      </c>
      <c r="C14" s="54" t="s">
        <v>9</v>
      </c>
      <c r="D14" s="54"/>
      <c r="E14" s="9" t="s">
        <v>22</v>
      </c>
      <c r="F14" s="37" t="s">
        <v>32</v>
      </c>
      <c r="G14" s="43">
        <v>40</v>
      </c>
      <c r="H14" s="9">
        <v>0</v>
      </c>
      <c r="I14" s="9">
        <v>0</v>
      </c>
      <c r="J14" s="44">
        <v>40</v>
      </c>
      <c r="K14" s="43">
        <v>40</v>
      </c>
      <c r="L14" s="9">
        <v>0</v>
      </c>
      <c r="M14" s="9">
        <v>0</v>
      </c>
      <c r="N14" s="44">
        <v>40</v>
      </c>
      <c r="O14" s="43">
        <v>40</v>
      </c>
      <c r="P14" s="9">
        <v>0</v>
      </c>
      <c r="Q14" s="9">
        <v>0</v>
      </c>
      <c r="R14" s="44">
        <v>40</v>
      </c>
      <c r="S14" s="43">
        <v>40</v>
      </c>
      <c r="T14" s="9">
        <v>0</v>
      </c>
      <c r="U14" s="9">
        <v>0</v>
      </c>
      <c r="V14" s="44">
        <v>40</v>
      </c>
      <c r="W14" s="43">
        <v>160</v>
      </c>
      <c r="X14" s="9">
        <v>0</v>
      </c>
      <c r="Y14" s="9">
        <v>0</v>
      </c>
      <c r="Z14" s="44">
        <v>160</v>
      </c>
      <c r="AA14" s="32">
        <v>500</v>
      </c>
      <c r="AB14" s="32">
        <v>500</v>
      </c>
      <c r="AC14" s="32">
        <v>500</v>
      </c>
      <c r="AD14" s="32">
        <v>500</v>
      </c>
      <c r="AE14" s="32">
        <v>500</v>
      </c>
      <c r="AF14" s="61">
        <v>500</v>
      </c>
      <c r="AG14" s="66">
        <f t="shared" si="0"/>
        <v>1</v>
      </c>
      <c r="AH14" s="74">
        <v>10</v>
      </c>
      <c r="AI14" s="74">
        <v>10</v>
      </c>
      <c r="AJ14" s="74">
        <v>10</v>
      </c>
      <c r="AK14" s="75">
        <v>7</v>
      </c>
      <c r="AL14" s="76">
        <v>15</v>
      </c>
    </row>
    <row r="15" spans="1:38" ht="20.100000000000001" customHeight="1" x14ac:dyDescent="0.25">
      <c r="A15" s="14">
        <v>8</v>
      </c>
      <c r="B15" s="23">
        <v>118</v>
      </c>
      <c r="C15" s="53" t="s">
        <v>10</v>
      </c>
      <c r="D15" s="53"/>
      <c r="E15" s="15" t="s">
        <v>22</v>
      </c>
      <c r="F15" s="36" t="s">
        <v>21</v>
      </c>
      <c r="G15" s="41">
        <v>40</v>
      </c>
      <c r="H15" s="15">
        <v>0</v>
      </c>
      <c r="I15" s="15">
        <v>0</v>
      </c>
      <c r="J15" s="42">
        <v>40</v>
      </c>
      <c r="K15" s="41">
        <v>40</v>
      </c>
      <c r="L15" s="15">
        <v>0</v>
      </c>
      <c r="M15" s="15">
        <v>0</v>
      </c>
      <c r="N15" s="42">
        <v>40</v>
      </c>
      <c r="O15" s="41">
        <v>40</v>
      </c>
      <c r="P15" s="15">
        <v>0</v>
      </c>
      <c r="Q15" s="15">
        <v>0</v>
      </c>
      <c r="R15" s="42">
        <v>40</v>
      </c>
      <c r="S15" s="41">
        <v>40</v>
      </c>
      <c r="T15" s="15">
        <v>0</v>
      </c>
      <c r="U15" s="15">
        <v>0</v>
      </c>
      <c r="V15" s="42">
        <v>40</v>
      </c>
      <c r="W15" s="41">
        <v>160</v>
      </c>
      <c r="X15" s="15">
        <v>0</v>
      </c>
      <c r="Y15" s="15">
        <v>0</v>
      </c>
      <c r="Z15" s="42">
        <v>160</v>
      </c>
      <c r="AA15" s="31">
        <v>500</v>
      </c>
      <c r="AB15" s="31">
        <v>500</v>
      </c>
      <c r="AC15" s="31">
        <v>500</v>
      </c>
      <c r="AD15" s="31">
        <v>500</v>
      </c>
      <c r="AE15" s="31">
        <v>500</v>
      </c>
      <c r="AF15" s="60">
        <v>500</v>
      </c>
      <c r="AG15" s="65">
        <f t="shared" si="0"/>
        <v>1</v>
      </c>
      <c r="AH15" s="71">
        <v>10</v>
      </c>
      <c r="AI15" s="71">
        <v>10</v>
      </c>
      <c r="AJ15" s="71">
        <v>10</v>
      </c>
      <c r="AK15" s="72">
        <v>8</v>
      </c>
      <c r="AL15" s="73">
        <v>17</v>
      </c>
    </row>
    <row r="16" spans="1:38" ht="20.100000000000001" customHeight="1" x14ac:dyDescent="0.25">
      <c r="A16" s="8">
        <v>9</v>
      </c>
      <c r="B16" s="24">
        <v>125</v>
      </c>
      <c r="C16" s="54" t="s">
        <v>11</v>
      </c>
      <c r="D16" s="54"/>
      <c r="E16" s="9" t="s">
        <v>22</v>
      </c>
      <c r="F16" s="37" t="s">
        <v>21</v>
      </c>
      <c r="G16" s="43">
        <v>40</v>
      </c>
      <c r="H16" s="9">
        <v>0</v>
      </c>
      <c r="I16" s="9">
        <v>0</v>
      </c>
      <c r="J16" s="44">
        <v>40</v>
      </c>
      <c r="K16" s="43">
        <v>40</v>
      </c>
      <c r="L16" s="9">
        <v>0</v>
      </c>
      <c r="M16" s="9">
        <v>0</v>
      </c>
      <c r="N16" s="44">
        <v>40</v>
      </c>
      <c r="O16" s="43">
        <v>40</v>
      </c>
      <c r="P16" s="9">
        <v>0</v>
      </c>
      <c r="Q16" s="9">
        <v>0</v>
      </c>
      <c r="R16" s="44">
        <v>40</v>
      </c>
      <c r="S16" s="43">
        <v>40</v>
      </c>
      <c r="T16" s="9">
        <v>0</v>
      </c>
      <c r="U16" s="9">
        <v>0</v>
      </c>
      <c r="V16" s="44">
        <v>40</v>
      </c>
      <c r="W16" s="43">
        <v>160</v>
      </c>
      <c r="X16" s="9">
        <v>0</v>
      </c>
      <c r="Y16" s="9">
        <v>0</v>
      </c>
      <c r="Z16" s="44">
        <v>160</v>
      </c>
      <c r="AA16" s="32">
        <v>500</v>
      </c>
      <c r="AB16" s="32">
        <v>500</v>
      </c>
      <c r="AC16" s="32">
        <v>500</v>
      </c>
      <c r="AD16" s="32">
        <v>500</v>
      </c>
      <c r="AE16" s="32">
        <v>500</v>
      </c>
      <c r="AF16" s="61">
        <v>500</v>
      </c>
      <c r="AG16" s="66">
        <f t="shared" si="0"/>
        <v>1</v>
      </c>
      <c r="AH16" s="74">
        <v>10</v>
      </c>
      <c r="AI16" s="74">
        <v>10</v>
      </c>
      <c r="AJ16" s="74">
        <v>10</v>
      </c>
      <c r="AK16" s="75">
        <v>9</v>
      </c>
      <c r="AL16" s="76">
        <v>18</v>
      </c>
    </row>
    <row r="17" spans="1:38" ht="20.100000000000001" customHeight="1" x14ac:dyDescent="0.25">
      <c r="A17" s="14">
        <v>10</v>
      </c>
      <c r="B17" s="23">
        <v>179</v>
      </c>
      <c r="C17" s="53" t="s">
        <v>12</v>
      </c>
      <c r="D17" s="53"/>
      <c r="E17" s="15" t="s">
        <v>22</v>
      </c>
      <c r="F17" s="36" t="s">
        <v>21</v>
      </c>
      <c r="G17" s="41">
        <v>40</v>
      </c>
      <c r="H17" s="15">
        <v>0</v>
      </c>
      <c r="I17" s="15">
        <v>0</v>
      </c>
      <c r="J17" s="42">
        <v>40</v>
      </c>
      <c r="K17" s="41">
        <v>40</v>
      </c>
      <c r="L17" s="15">
        <v>0</v>
      </c>
      <c r="M17" s="15">
        <v>0</v>
      </c>
      <c r="N17" s="42">
        <v>40</v>
      </c>
      <c r="O17" s="41">
        <v>40</v>
      </c>
      <c r="P17" s="15">
        <v>0</v>
      </c>
      <c r="Q17" s="15">
        <v>0</v>
      </c>
      <c r="R17" s="42">
        <v>40</v>
      </c>
      <c r="S17" s="41">
        <v>40</v>
      </c>
      <c r="T17" s="15">
        <v>0</v>
      </c>
      <c r="U17" s="15">
        <v>0</v>
      </c>
      <c r="V17" s="42">
        <v>40</v>
      </c>
      <c r="W17" s="41">
        <v>160</v>
      </c>
      <c r="X17" s="15">
        <v>0</v>
      </c>
      <c r="Y17" s="15">
        <v>0</v>
      </c>
      <c r="Z17" s="42">
        <v>160</v>
      </c>
      <c r="AA17" s="31">
        <v>500</v>
      </c>
      <c r="AB17" s="31">
        <v>500</v>
      </c>
      <c r="AC17" s="31">
        <v>500</v>
      </c>
      <c r="AD17" s="31">
        <v>500</v>
      </c>
      <c r="AE17" s="31">
        <v>500</v>
      </c>
      <c r="AF17" s="60">
        <v>500</v>
      </c>
      <c r="AG17" s="65">
        <f t="shared" si="0"/>
        <v>1</v>
      </c>
      <c r="AH17" s="71">
        <v>10</v>
      </c>
      <c r="AI17" s="71">
        <v>10</v>
      </c>
      <c r="AJ17" s="71">
        <v>10</v>
      </c>
      <c r="AK17" s="72">
        <v>10</v>
      </c>
      <c r="AL17" s="73">
        <v>19</v>
      </c>
    </row>
    <row r="18" spans="1:38" ht="20.100000000000001" customHeight="1" x14ac:dyDescent="0.25">
      <c r="A18" s="8">
        <v>11</v>
      </c>
      <c r="B18" s="24">
        <v>92</v>
      </c>
      <c r="C18" s="54" t="s">
        <v>13</v>
      </c>
      <c r="D18" s="54"/>
      <c r="E18" s="9" t="s">
        <v>22</v>
      </c>
      <c r="F18" s="37" t="s">
        <v>21</v>
      </c>
      <c r="G18" s="43">
        <v>40</v>
      </c>
      <c r="H18" s="9">
        <v>0</v>
      </c>
      <c r="I18" s="9">
        <v>0</v>
      </c>
      <c r="J18" s="44">
        <v>40</v>
      </c>
      <c r="K18" s="43">
        <v>40</v>
      </c>
      <c r="L18" s="9">
        <v>0</v>
      </c>
      <c r="M18" s="9">
        <v>0</v>
      </c>
      <c r="N18" s="44">
        <v>40</v>
      </c>
      <c r="O18" s="43">
        <v>40</v>
      </c>
      <c r="P18" s="9">
        <v>0</v>
      </c>
      <c r="Q18" s="9">
        <v>0</v>
      </c>
      <c r="R18" s="44">
        <v>40</v>
      </c>
      <c r="S18" s="43">
        <v>40</v>
      </c>
      <c r="T18" s="9">
        <v>0</v>
      </c>
      <c r="U18" s="9">
        <v>0</v>
      </c>
      <c r="V18" s="44">
        <v>40</v>
      </c>
      <c r="W18" s="43">
        <v>160</v>
      </c>
      <c r="X18" s="9">
        <v>0</v>
      </c>
      <c r="Y18" s="9">
        <v>0</v>
      </c>
      <c r="Z18" s="44">
        <v>160</v>
      </c>
      <c r="AA18" s="32">
        <v>500</v>
      </c>
      <c r="AB18" s="32">
        <v>500</v>
      </c>
      <c r="AC18" s="32">
        <v>500</v>
      </c>
      <c r="AD18" s="32">
        <v>500</v>
      </c>
      <c r="AE18" s="32">
        <v>500</v>
      </c>
      <c r="AF18" s="61">
        <v>500</v>
      </c>
      <c r="AG18" s="66">
        <f t="shared" si="0"/>
        <v>1</v>
      </c>
      <c r="AH18" s="74">
        <v>10</v>
      </c>
      <c r="AI18" s="74">
        <v>10</v>
      </c>
      <c r="AJ18" s="74">
        <v>10</v>
      </c>
      <c r="AK18" s="75">
        <v>11</v>
      </c>
      <c r="AL18" s="76">
        <v>23</v>
      </c>
    </row>
    <row r="19" spans="1:38" ht="20.100000000000001" customHeight="1" x14ac:dyDescent="0.25">
      <c r="A19" s="14">
        <v>12</v>
      </c>
      <c r="B19" s="23">
        <v>89</v>
      </c>
      <c r="C19" s="53" t="s">
        <v>14</v>
      </c>
      <c r="D19" s="53"/>
      <c r="E19" s="15" t="s">
        <v>22</v>
      </c>
      <c r="F19" s="36" t="s">
        <v>32</v>
      </c>
      <c r="G19" s="41">
        <v>40</v>
      </c>
      <c r="H19" s="15">
        <v>0</v>
      </c>
      <c r="I19" s="15">
        <v>0</v>
      </c>
      <c r="J19" s="42">
        <v>40</v>
      </c>
      <c r="K19" s="41">
        <v>40</v>
      </c>
      <c r="L19" s="15">
        <v>0</v>
      </c>
      <c r="M19" s="15">
        <v>0</v>
      </c>
      <c r="N19" s="42">
        <v>40</v>
      </c>
      <c r="O19" s="41">
        <v>40</v>
      </c>
      <c r="P19" s="15">
        <v>0</v>
      </c>
      <c r="Q19" s="15">
        <v>0</v>
      </c>
      <c r="R19" s="42">
        <v>40</v>
      </c>
      <c r="S19" s="41">
        <v>40</v>
      </c>
      <c r="T19" s="15">
        <v>0</v>
      </c>
      <c r="U19" s="15">
        <v>0</v>
      </c>
      <c r="V19" s="42">
        <v>40</v>
      </c>
      <c r="W19" s="41">
        <v>160</v>
      </c>
      <c r="X19" s="15">
        <v>0</v>
      </c>
      <c r="Y19" s="15">
        <v>0</v>
      </c>
      <c r="Z19" s="42">
        <v>160</v>
      </c>
      <c r="AA19" s="31">
        <v>500</v>
      </c>
      <c r="AB19" s="31">
        <v>500</v>
      </c>
      <c r="AC19" s="31">
        <v>500</v>
      </c>
      <c r="AD19" s="31">
        <v>500</v>
      </c>
      <c r="AE19" s="31">
        <v>500</v>
      </c>
      <c r="AF19" s="60">
        <v>500</v>
      </c>
      <c r="AG19" s="65">
        <f t="shared" si="0"/>
        <v>1</v>
      </c>
      <c r="AH19" s="71">
        <v>10</v>
      </c>
      <c r="AI19" s="71">
        <v>10</v>
      </c>
      <c r="AJ19" s="71">
        <v>10</v>
      </c>
      <c r="AK19" s="72">
        <v>12</v>
      </c>
      <c r="AL19" s="73">
        <v>26</v>
      </c>
    </row>
    <row r="20" spans="1:38" ht="20.100000000000001" customHeight="1" x14ac:dyDescent="0.25">
      <c r="A20" s="8">
        <v>13</v>
      </c>
      <c r="B20" s="24">
        <v>234</v>
      </c>
      <c r="C20" s="54" t="s">
        <v>15</v>
      </c>
      <c r="D20" s="54"/>
      <c r="E20" s="9" t="s">
        <v>22</v>
      </c>
      <c r="F20" s="37" t="s">
        <v>21</v>
      </c>
      <c r="G20" s="43">
        <v>40</v>
      </c>
      <c r="H20" s="9">
        <v>0</v>
      </c>
      <c r="I20" s="9">
        <v>0</v>
      </c>
      <c r="J20" s="44">
        <v>40</v>
      </c>
      <c r="K20" s="43">
        <v>40</v>
      </c>
      <c r="L20" s="9">
        <v>0</v>
      </c>
      <c r="M20" s="9">
        <v>0</v>
      </c>
      <c r="N20" s="44">
        <v>40</v>
      </c>
      <c r="O20" s="43">
        <v>40</v>
      </c>
      <c r="P20" s="9">
        <v>0</v>
      </c>
      <c r="Q20" s="9">
        <v>0</v>
      </c>
      <c r="R20" s="44">
        <v>40</v>
      </c>
      <c r="S20" s="43">
        <v>40</v>
      </c>
      <c r="T20" s="9">
        <v>0</v>
      </c>
      <c r="U20" s="9">
        <v>0</v>
      </c>
      <c r="V20" s="44">
        <v>40</v>
      </c>
      <c r="W20" s="43">
        <v>160</v>
      </c>
      <c r="X20" s="9">
        <v>0</v>
      </c>
      <c r="Y20" s="9">
        <v>0</v>
      </c>
      <c r="Z20" s="44">
        <v>160</v>
      </c>
      <c r="AA20" s="32">
        <v>500</v>
      </c>
      <c r="AB20" s="32">
        <v>500</v>
      </c>
      <c r="AC20" s="32">
        <v>500</v>
      </c>
      <c r="AD20" s="32">
        <v>500</v>
      </c>
      <c r="AE20" s="32">
        <v>500</v>
      </c>
      <c r="AF20" s="61">
        <v>500</v>
      </c>
      <c r="AG20" s="66">
        <f t="shared" si="0"/>
        <v>1</v>
      </c>
      <c r="AH20" s="74">
        <v>10</v>
      </c>
      <c r="AI20" s="74">
        <v>10</v>
      </c>
      <c r="AJ20" s="74">
        <v>10</v>
      </c>
      <c r="AK20" s="75">
        <v>13</v>
      </c>
      <c r="AL20" s="76">
        <v>29</v>
      </c>
    </row>
    <row r="21" spans="1:38" ht="20.100000000000001" customHeight="1" x14ac:dyDescent="0.25">
      <c r="A21" s="14">
        <v>14</v>
      </c>
      <c r="B21" s="23">
        <v>76</v>
      </c>
      <c r="C21" s="53" t="s">
        <v>16</v>
      </c>
      <c r="D21" s="53"/>
      <c r="E21" s="15" t="s">
        <v>22</v>
      </c>
      <c r="F21" s="36" t="s">
        <v>21</v>
      </c>
      <c r="G21" s="41">
        <v>40</v>
      </c>
      <c r="H21" s="15">
        <v>0</v>
      </c>
      <c r="I21" s="15">
        <v>0</v>
      </c>
      <c r="J21" s="42">
        <v>40</v>
      </c>
      <c r="K21" s="41">
        <v>40</v>
      </c>
      <c r="L21" s="15">
        <v>0</v>
      </c>
      <c r="M21" s="15">
        <v>0</v>
      </c>
      <c r="N21" s="42">
        <v>40</v>
      </c>
      <c r="O21" s="41">
        <v>40</v>
      </c>
      <c r="P21" s="15">
        <v>0</v>
      </c>
      <c r="Q21" s="15">
        <v>0</v>
      </c>
      <c r="R21" s="42">
        <v>40</v>
      </c>
      <c r="S21" s="41">
        <v>40</v>
      </c>
      <c r="T21" s="15">
        <v>0</v>
      </c>
      <c r="U21" s="15">
        <v>0</v>
      </c>
      <c r="V21" s="42">
        <v>40</v>
      </c>
      <c r="W21" s="41">
        <v>160</v>
      </c>
      <c r="X21" s="15">
        <v>0</v>
      </c>
      <c r="Y21" s="15">
        <v>0</v>
      </c>
      <c r="Z21" s="42">
        <v>160</v>
      </c>
      <c r="AA21" s="31">
        <v>500</v>
      </c>
      <c r="AB21" s="31">
        <v>500</v>
      </c>
      <c r="AC21" s="31">
        <v>500</v>
      </c>
      <c r="AD21" s="31">
        <v>500</v>
      </c>
      <c r="AE21" s="31">
        <v>500</v>
      </c>
      <c r="AF21" s="60">
        <v>500</v>
      </c>
      <c r="AG21" s="65">
        <f t="shared" si="0"/>
        <v>1</v>
      </c>
      <c r="AH21" s="71">
        <v>10</v>
      </c>
      <c r="AI21" s="71">
        <v>10</v>
      </c>
      <c r="AJ21" s="71">
        <v>10</v>
      </c>
      <c r="AK21" s="72">
        <v>14</v>
      </c>
      <c r="AL21" s="73">
        <v>31</v>
      </c>
    </row>
    <row r="22" spans="1:38" ht="20.100000000000001" customHeight="1" x14ac:dyDescent="0.25">
      <c r="A22" s="8">
        <v>15</v>
      </c>
      <c r="B22" s="24">
        <v>98</v>
      </c>
      <c r="C22" s="54" t="s">
        <v>17</v>
      </c>
      <c r="D22" s="54"/>
      <c r="E22" s="9" t="s">
        <v>22</v>
      </c>
      <c r="F22" s="37" t="s">
        <v>32</v>
      </c>
      <c r="G22" s="43">
        <v>40</v>
      </c>
      <c r="H22" s="9">
        <v>0</v>
      </c>
      <c r="I22" s="9">
        <v>0</v>
      </c>
      <c r="J22" s="44">
        <v>40</v>
      </c>
      <c r="K22" s="43">
        <v>40</v>
      </c>
      <c r="L22" s="9">
        <v>0</v>
      </c>
      <c r="M22" s="9">
        <v>0</v>
      </c>
      <c r="N22" s="44">
        <v>40</v>
      </c>
      <c r="O22" s="43">
        <v>40</v>
      </c>
      <c r="P22" s="9">
        <v>0</v>
      </c>
      <c r="Q22" s="9">
        <v>0</v>
      </c>
      <c r="R22" s="44">
        <v>40</v>
      </c>
      <c r="S22" s="43">
        <v>40</v>
      </c>
      <c r="T22" s="9">
        <v>0</v>
      </c>
      <c r="U22" s="9">
        <v>0</v>
      </c>
      <c r="V22" s="44">
        <v>40</v>
      </c>
      <c r="W22" s="43">
        <v>160</v>
      </c>
      <c r="X22" s="9">
        <v>0</v>
      </c>
      <c r="Y22" s="9">
        <v>0</v>
      </c>
      <c r="Z22" s="44">
        <v>160</v>
      </c>
      <c r="AA22" s="32">
        <v>500</v>
      </c>
      <c r="AB22" s="32">
        <v>500</v>
      </c>
      <c r="AC22" s="32">
        <v>500</v>
      </c>
      <c r="AD22" s="32">
        <v>500</v>
      </c>
      <c r="AE22" s="32">
        <v>500</v>
      </c>
      <c r="AF22" s="61">
        <v>500</v>
      </c>
      <c r="AG22" s="66">
        <f t="shared" si="0"/>
        <v>1</v>
      </c>
      <c r="AH22" s="74">
        <v>10</v>
      </c>
      <c r="AI22" s="74">
        <v>10</v>
      </c>
      <c r="AJ22" s="74">
        <v>10</v>
      </c>
      <c r="AK22" s="75">
        <v>15</v>
      </c>
      <c r="AL22" s="76">
        <v>43</v>
      </c>
    </row>
    <row r="23" spans="1:38" ht="20.100000000000001" customHeight="1" x14ac:dyDescent="0.25">
      <c r="A23" s="14">
        <v>16</v>
      </c>
      <c r="B23" s="23">
        <v>101</v>
      </c>
      <c r="C23" s="53" t="s">
        <v>18</v>
      </c>
      <c r="D23" s="53"/>
      <c r="E23" s="15" t="s">
        <v>22</v>
      </c>
      <c r="F23" s="36" t="s">
        <v>21</v>
      </c>
      <c r="G23" s="41">
        <v>40</v>
      </c>
      <c r="H23" s="15">
        <v>0</v>
      </c>
      <c r="I23" s="15">
        <v>0</v>
      </c>
      <c r="J23" s="42">
        <v>40</v>
      </c>
      <c r="K23" s="41">
        <v>40</v>
      </c>
      <c r="L23" s="15">
        <v>0</v>
      </c>
      <c r="M23" s="15">
        <v>0</v>
      </c>
      <c r="N23" s="42">
        <v>40</v>
      </c>
      <c r="O23" s="41">
        <v>40</v>
      </c>
      <c r="P23" s="15">
        <v>0</v>
      </c>
      <c r="Q23" s="15">
        <v>0</v>
      </c>
      <c r="R23" s="42">
        <v>40</v>
      </c>
      <c r="S23" s="41">
        <v>40</v>
      </c>
      <c r="T23" s="15">
        <v>0</v>
      </c>
      <c r="U23" s="15">
        <v>0</v>
      </c>
      <c r="V23" s="42">
        <v>40</v>
      </c>
      <c r="W23" s="41">
        <v>160</v>
      </c>
      <c r="X23" s="15">
        <v>0</v>
      </c>
      <c r="Y23" s="15">
        <v>0</v>
      </c>
      <c r="Z23" s="42">
        <v>160</v>
      </c>
      <c r="AA23" s="31">
        <v>500</v>
      </c>
      <c r="AB23" s="31">
        <v>500</v>
      </c>
      <c r="AC23" s="31">
        <v>500</v>
      </c>
      <c r="AD23" s="31">
        <v>500</v>
      </c>
      <c r="AE23" s="31">
        <v>500</v>
      </c>
      <c r="AF23" s="60">
        <v>500</v>
      </c>
      <c r="AG23" s="65">
        <f t="shared" si="0"/>
        <v>1</v>
      </c>
      <c r="AH23" s="71">
        <v>10</v>
      </c>
      <c r="AI23" s="71">
        <v>10</v>
      </c>
      <c r="AJ23" s="71">
        <v>10</v>
      </c>
      <c r="AK23" s="72">
        <v>16</v>
      </c>
      <c r="AL23" s="73">
        <v>44</v>
      </c>
    </row>
    <row r="24" spans="1:38" ht="20.100000000000001" customHeight="1" x14ac:dyDescent="0.25">
      <c r="A24" s="8">
        <v>17</v>
      </c>
      <c r="B24" s="24">
        <v>84</v>
      </c>
      <c r="C24" s="54" t="s">
        <v>19</v>
      </c>
      <c r="D24" s="54"/>
      <c r="E24" s="9" t="s">
        <v>22</v>
      </c>
      <c r="F24" s="37" t="s">
        <v>32</v>
      </c>
      <c r="G24" s="43">
        <v>40</v>
      </c>
      <c r="H24" s="9">
        <v>0</v>
      </c>
      <c r="I24" s="9">
        <v>0</v>
      </c>
      <c r="J24" s="44">
        <v>40</v>
      </c>
      <c r="K24" s="43">
        <v>40</v>
      </c>
      <c r="L24" s="9">
        <v>0</v>
      </c>
      <c r="M24" s="9">
        <v>0</v>
      </c>
      <c r="N24" s="44">
        <v>40</v>
      </c>
      <c r="O24" s="43">
        <v>40</v>
      </c>
      <c r="P24" s="9">
        <v>0</v>
      </c>
      <c r="Q24" s="9">
        <v>0</v>
      </c>
      <c r="R24" s="44">
        <v>40</v>
      </c>
      <c r="S24" s="43">
        <v>40</v>
      </c>
      <c r="T24" s="9">
        <v>0</v>
      </c>
      <c r="U24" s="9">
        <v>0</v>
      </c>
      <c r="V24" s="44">
        <v>40</v>
      </c>
      <c r="W24" s="43">
        <v>160</v>
      </c>
      <c r="X24" s="9">
        <v>0</v>
      </c>
      <c r="Y24" s="9">
        <v>0</v>
      </c>
      <c r="Z24" s="44">
        <v>160</v>
      </c>
      <c r="AA24" s="32">
        <v>500</v>
      </c>
      <c r="AB24" s="32">
        <v>500</v>
      </c>
      <c r="AC24" s="32">
        <v>500</v>
      </c>
      <c r="AD24" s="32">
        <v>500</v>
      </c>
      <c r="AE24" s="32">
        <v>500</v>
      </c>
      <c r="AF24" s="61">
        <v>500</v>
      </c>
      <c r="AG24" s="66">
        <f t="shared" si="0"/>
        <v>1</v>
      </c>
      <c r="AH24" s="74">
        <v>10</v>
      </c>
      <c r="AI24" s="74">
        <v>10</v>
      </c>
      <c r="AJ24" s="74">
        <v>10</v>
      </c>
      <c r="AK24" s="75">
        <v>17</v>
      </c>
      <c r="AL24" s="76">
        <v>48</v>
      </c>
    </row>
    <row r="25" spans="1:38" ht="20.100000000000001" customHeight="1" x14ac:dyDescent="0.25">
      <c r="A25" s="16">
        <v>18</v>
      </c>
      <c r="B25" s="25">
        <v>97</v>
      </c>
      <c r="C25" s="56" t="s">
        <v>20</v>
      </c>
      <c r="D25" s="56"/>
      <c r="E25" s="17" t="s">
        <v>22</v>
      </c>
      <c r="F25" s="38" t="s">
        <v>21</v>
      </c>
      <c r="G25" s="45">
        <v>40</v>
      </c>
      <c r="H25" s="17">
        <v>0</v>
      </c>
      <c r="I25" s="17">
        <v>0</v>
      </c>
      <c r="J25" s="46">
        <v>40</v>
      </c>
      <c r="K25" s="45">
        <v>40</v>
      </c>
      <c r="L25" s="17">
        <v>0</v>
      </c>
      <c r="M25" s="17">
        <v>0</v>
      </c>
      <c r="N25" s="46">
        <v>40</v>
      </c>
      <c r="O25" s="45">
        <v>40</v>
      </c>
      <c r="P25" s="17">
        <v>0</v>
      </c>
      <c r="Q25" s="17">
        <v>0</v>
      </c>
      <c r="R25" s="46">
        <v>40</v>
      </c>
      <c r="S25" s="45">
        <v>40</v>
      </c>
      <c r="T25" s="17">
        <v>0</v>
      </c>
      <c r="U25" s="17">
        <v>0</v>
      </c>
      <c r="V25" s="46">
        <v>40</v>
      </c>
      <c r="W25" s="45">
        <v>160</v>
      </c>
      <c r="X25" s="17">
        <v>0</v>
      </c>
      <c r="Y25" s="17">
        <v>0</v>
      </c>
      <c r="Z25" s="46">
        <v>160</v>
      </c>
      <c r="AA25" s="33">
        <v>500</v>
      </c>
      <c r="AB25" s="33">
        <v>500</v>
      </c>
      <c r="AC25" s="33">
        <v>500</v>
      </c>
      <c r="AD25" s="33">
        <v>500</v>
      </c>
      <c r="AE25" s="33">
        <v>500</v>
      </c>
      <c r="AF25" s="62">
        <v>500</v>
      </c>
      <c r="AG25" s="67">
        <f t="shared" si="0"/>
        <v>1</v>
      </c>
      <c r="AH25" s="77">
        <v>10</v>
      </c>
      <c r="AI25" s="77">
        <v>10</v>
      </c>
      <c r="AJ25" s="77">
        <v>10</v>
      </c>
      <c r="AK25" s="78">
        <v>18</v>
      </c>
      <c r="AL25" s="79">
        <v>53</v>
      </c>
    </row>
    <row r="26" spans="1:38" ht="20.100000000000001" customHeight="1" x14ac:dyDescent="0.25"/>
    <row r="27" spans="1:38" s="11" customFormat="1" ht="20.100000000000001" customHeight="1" x14ac:dyDescent="0.25">
      <c r="A27" s="5"/>
      <c r="B27" s="10"/>
      <c r="C27" s="10"/>
      <c r="D27" s="55" t="s">
        <v>30</v>
      </c>
      <c r="E27" s="55"/>
      <c r="F27" s="55"/>
      <c r="G27" s="18">
        <f>AVERAGE(G8:G25)</f>
        <v>40</v>
      </c>
      <c r="H27" s="18">
        <f t="shared" ref="H27:J27" si="1">AVERAGE(H8:H25)</f>
        <v>0</v>
      </c>
      <c r="I27" s="18">
        <f t="shared" si="1"/>
        <v>0</v>
      </c>
      <c r="J27" s="18">
        <f t="shared" si="1"/>
        <v>40</v>
      </c>
      <c r="K27" s="18">
        <f>AVERAGE(K8:K25)</f>
        <v>40</v>
      </c>
      <c r="L27" s="18">
        <f t="shared" ref="L27:N27" si="2">AVERAGE(L8:L25)</f>
        <v>0</v>
      </c>
      <c r="M27" s="18">
        <f t="shared" si="2"/>
        <v>0</v>
      </c>
      <c r="N27" s="18">
        <f t="shared" si="2"/>
        <v>40</v>
      </c>
      <c r="O27" s="18">
        <f>AVERAGE(O8:O25)</f>
        <v>40</v>
      </c>
      <c r="P27" s="18">
        <f t="shared" ref="P27:R27" si="3">AVERAGE(P8:P25)</f>
        <v>0</v>
      </c>
      <c r="Q27" s="18">
        <f t="shared" si="3"/>
        <v>0</v>
      </c>
      <c r="R27" s="18">
        <f t="shared" si="3"/>
        <v>40</v>
      </c>
      <c r="S27" s="18">
        <f>AVERAGE(S8:S25)</f>
        <v>40</v>
      </c>
      <c r="T27" s="18">
        <f t="shared" ref="T27:V27" si="4">AVERAGE(T8:T25)</f>
        <v>0</v>
      </c>
      <c r="U27" s="18">
        <f t="shared" si="4"/>
        <v>0</v>
      </c>
      <c r="V27" s="18">
        <f t="shared" si="4"/>
        <v>40</v>
      </c>
      <c r="W27" s="18">
        <f>AVERAGE(W8:W25)</f>
        <v>160</v>
      </c>
      <c r="X27" s="18">
        <f t="shared" ref="X27:AF27" si="5">AVERAGE(X8:X25)</f>
        <v>0</v>
      </c>
      <c r="Y27" s="18">
        <f t="shared" si="5"/>
        <v>0</v>
      </c>
      <c r="Z27" s="18">
        <f t="shared" si="5"/>
        <v>160</v>
      </c>
      <c r="AA27" s="18">
        <f t="shared" si="5"/>
        <v>500</v>
      </c>
      <c r="AB27" s="18">
        <f t="shared" si="5"/>
        <v>500</v>
      </c>
      <c r="AC27" s="18">
        <f t="shared" si="5"/>
        <v>500</v>
      </c>
      <c r="AD27" s="18">
        <f t="shared" si="5"/>
        <v>500</v>
      </c>
      <c r="AE27" s="18">
        <f t="shared" si="5"/>
        <v>500</v>
      </c>
      <c r="AF27" s="18">
        <f t="shared" si="5"/>
        <v>500</v>
      </c>
      <c r="AG27" s="47">
        <f t="shared" ref="AG27" si="6">AVERAGE(AG8:AG25)</f>
        <v>1</v>
      </c>
      <c r="AH27"/>
      <c r="AI27"/>
      <c r="AJ27"/>
      <c r="AK27" s="5"/>
      <c r="AL27" s="5"/>
    </row>
    <row r="28" spans="1:38" ht="14.25" customHeight="1" x14ac:dyDescent="0.25"/>
  </sheetData>
  <mergeCells count="44">
    <mergeCell ref="AH6:AH7"/>
    <mergeCell ref="AI6:AI7"/>
    <mergeCell ref="AJ6:AJ7"/>
    <mergeCell ref="C18:D18"/>
    <mergeCell ref="C19:D19"/>
    <mergeCell ref="C12:D12"/>
    <mergeCell ref="C8:D8"/>
    <mergeCell ref="C17:D17"/>
    <mergeCell ref="C9:D9"/>
    <mergeCell ref="C10:D10"/>
    <mergeCell ref="C11:D11"/>
    <mergeCell ref="C13:D13"/>
    <mergeCell ref="C14:D14"/>
    <mergeCell ref="C15:D15"/>
    <mergeCell ref="C16:D16"/>
    <mergeCell ref="C23:D23"/>
    <mergeCell ref="C24:D24"/>
    <mergeCell ref="D27:F27"/>
    <mergeCell ref="C20:D20"/>
    <mergeCell ref="C21:D21"/>
    <mergeCell ref="C25:D25"/>
    <mergeCell ref="C22:D22"/>
    <mergeCell ref="A1:AL1"/>
    <mergeCell ref="A4:B4"/>
    <mergeCell ref="D4:G4"/>
    <mergeCell ref="F6:F7"/>
    <mergeCell ref="E6:E7"/>
    <mergeCell ref="AA6:AA7"/>
    <mergeCell ref="AB6:AB7"/>
    <mergeCell ref="AC6:AC7"/>
    <mergeCell ref="AD6:AD7"/>
    <mergeCell ref="AE6:AE7"/>
    <mergeCell ref="AF6:AF7"/>
    <mergeCell ref="AG6:AG7"/>
    <mergeCell ref="AK6:AK7"/>
    <mergeCell ref="AL6:AL7"/>
    <mergeCell ref="C6:D7"/>
    <mergeCell ref="B6:B7"/>
    <mergeCell ref="A6:A7"/>
    <mergeCell ref="G6:J6"/>
    <mergeCell ref="W6:Z6"/>
    <mergeCell ref="O6:R6"/>
    <mergeCell ref="K6:N6"/>
    <mergeCell ref="S6:V6"/>
  </mergeCells>
  <printOptions horizontalCentered="1"/>
  <pageMargins left="0.39370078740157483" right="0.39370078740157483" top="0.59055118110236227" bottom="0.39370078740157483" header="0.31496062992125984" footer="0.31496062992125984"/>
  <pageSetup paperSize="9" scale="5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2016-02-05T23:26:37Z</dcterms:modified>
</cp:coreProperties>
</file>