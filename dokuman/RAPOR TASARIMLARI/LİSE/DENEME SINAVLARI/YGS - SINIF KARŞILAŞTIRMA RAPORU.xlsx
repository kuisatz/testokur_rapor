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ayfa1 (2)" sheetId="2" r:id="rId1"/>
  </sheets>
  <definedNames>
    <definedName name="_xlnm.Print_Area" localSheetId="0">'Sayfa1 (2)'!$A$1:$O$33</definedName>
  </definedNames>
  <calcPr calcId="152511"/>
</workbook>
</file>

<file path=xl/calcChain.xml><?xml version="1.0" encoding="utf-8"?>
<calcChain xmlns="http://schemas.openxmlformats.org/spreadsheetml/2006/main">
  <c r="D15" i="2" l="1"/>
  <c r="E15" i="2"/>
  <c r="F15" i="2"/>
  <c r="G15" i="2"/>
  <c r="H15" i="2"/>
  <c r="I15" i="2"/>
  <c r="J15" i="2"/>
  <c r="K15" i="2"/>
  <c r="C15" i="2"/>
  <c r="O13" i="2"/>
  <c r="O12" i="2"/>
  <c r="O11" i="2"/>
  <c r="O9" i="2"/>
  <c r="M13" i="2"/>
  <c r="M12" i="2"/>
  <c r="M11" i="2"/>
  <c r="M10" i="2"/>
  <c r="O10" i="2" s="1"/>
  <c r="M9" i="2"/>
  <c r="M8" i="2"/>
  <c r="O8" i="2" s="1"/>
  <c r="M7" i="2"/>
  <c r="O7" i="2" s="1"/>
  <c r="I13" i="2"/>
  <c r="I12" i="2"/>
  <c r="I11" i="2"/>
  <c r="I10" i="2"/>
  <c r="I9" i="2"/>
  <c r="I8" i="2"/>
  <c r="I7" i="2"/>
  <c r="K13" i="2"/>
  <c r="K12" i="2"/>
  <c r="K11" i="2"/>
  <c r="K10" i="2"/>
  <c r="K9" i="2"/>
  <c r="K8" i="2"/>
  <c r="K7" i="2"/>
  <c r="G13" i="2"/>
  <c r="G12" i="2"/>
  <c r="G11" i="2"/>
  <c r="G10" i="2"/>
  <c r="G9" i="2"/>
  <c r="G8" i="2"/>
  <c r="G7" i="2"/>
  <c r="E13" i="2"/>
  <c r="E12" i="2"/>
  <c r="E11" i="2"/>
  <c r="E10" i="2"/>
  <c r="E9" i="2"/>
  <c r="E8" i="2"/>
  <c r="E7" i="2"/>
  <c r="N15" i="2" l="1"/>
  <c r="M15" i="2"/>
  <c r="O15" i="2" l="1"/>
</calcChain>
</file>

<file path=xl/sharedStrings.xml><?xml version="1.0" encoding="utf-8"?>
<sst xmlns="http://schemas.openxmlformats.org/spreadsheetml/2006/main" count="45" uniqueCount="28">
  <si>
    <t>Sıra</t>
  </si>
  <si>
    <t>Sınav Adı</t>
  </si>
  <si>
    <t>Başarı
(%)</t>
  </si>
  <si>
    <t>SOSYAL BİLGİLER</t>
  </si>
  <si>
    <t>TÜRKÇE</t>
  </si>
  <si>
    <t>FEN BİLİMLERİ</t>
  </si>
  <si>
    <t>DİN KÜLTÜRÜ</t>
  </si>
  <si>
    <t>ORTALAMA</t>
  </si>
  <si>
    <t>Türkçe</t>
  </si>
  <si>
    <t>Fen Bilimleri</t>
  </si>
  <si>
    <t>Sosyal Bilimler</t>
  </si>
  <si>
    <t>YGS - SINIF KARŞILAŞTIRMA RAPORU</t>
  </si>
  <si>
    <t>Sınav Tarihi :</t>
  </si>
  <si>
    <t>Sınıf</t>
  </si>
  <si>
    <t>12/A</t>
  </si>
  <si>
    <t>12/B</t>
  </si>
  <si>
    <t>12/C</t>
  </si>
  <si>
    <t>12/D</t>
  </si>
  <si>
    <t>12/E</t>
  </si>
  <si>
    <t>12/F</t>
  </si>
  <si>
    <t>12/G</t>
  </si>
  <si>
    <t>Öğrenci
Sayısı</t>
  </si>
  <si>
    <t>Ort.
Net</t>
  </si>
  <si>
    <t>T. Matematik</t>
  </si>
  <si>
    <t>Ort.
Puan</t>
  </si>
  <si>
    <t>: YGS 1. DENEME</t>
  </si>
  <si>
    <t>TOPLAM</t>
  </si>
  <si>
    <t>Ort.
Başarı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</si>
</sst>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0.000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4"/>
      <name val="Calibri"/>
      <family val="2"/>
      <charset val="162"/>
      <scheme val="minor"/>
    </font>
    <font>
      <sz val="11"/>
      <color theme="0" tint="-0.34998626667073579"/>
      <name val="Calibri"/>
      <family val="2"/>
      <charset val="162"/>
      <scheme val="minor"/>
    </font>
    <font>
      <b/>
      <sz val="11"/>
      <color theme="0" tint="-0.34998626667073579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66"/>
        <bgColor indexed="64"/>
      </patternFill>
    </fill>
    <fill>
      <patternFill patternType="solid">
        <fgColor rgb="FFFFFF99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auto="1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2" fillId="0" borderId="0" xfId="0" applyFont="1" applyBorder="1"/>
    <xf numFmtId="0" fontId="1" fillId="0" borderId="0" xfId="0" applyFont="1" applyBorder="1" applyAlignment="1">
      <alignment horizontal="right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9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/>
    </xf>
    <xf numFmtId="9" fontId="4" fillId="0" borderId="0" xfId="0" applyNumberFormat="1" applyFont="1" applyAlignment="1">
      <alignment vertical="center"/>
    </xf>
    <xf numFmtId="0" fontId="4" fillId="0" borderId="0" xfId="0" applyFont="1" applyBorder="1"/>
    <xf numFmtId="9" fontId="4" fillId="0" borderId="0" xfId="0" applyNumberFormat="1" applyFont="1" applyBorder="1"/>
    <xf numFmtId="0" fontId="5" fillId="0" borderId="0" xfId="0" applyFont="1" applyAlignment="1">
      <alignment horizontal="center" vertical="center"/>
    </xf>
    <xf numFmtId="9" fontId="5" fillId="0" borderId="0" xfId="0" applyNumberFormat="1" applyFont="1" applyAlignment="1">
      <alignment horizontal="center" vertical="center"/>
    </xf>
    <xf numFmtId="9" fontId="4" fillId="0" borderId="8" xfId="0" applyNumberFormat="1" applyFont="1" applyBorder="1" applyAlignment="1">
      <alignment horizontal="center" vertical="center"/>
    </xf>
    <xf numFmtId="9" fontId="4" fillId="0" borderId="13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2" fontId="2" fillId="0" borderId="6" xfId="0" applyNumberFormat="1" applyFont="1" applyBorder="1" applyAlignment="1">
      <alignment horizontal="center" vertical="center"/>
    </xf>
    <xf numFmtId="2" fontId="2" fillId="3" borderId="3" xfId="0" applyNumberFormat="1" applyFont="1" applyFill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2" fontId="2" fillId="0" borderId="4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indent="1"/>
    </xf>
    <xf numFmtId="0" fontId="2" fillId="3" borderId="2" xfId="0" applyFont="1" applyFill="1" applyBorder="1" applyAlignment="1">
      <alignment horizontal="left" vertical="center" indent="1"/>
    </xf>
    <xf numFmtId="165" fontId="2" fillId="0" borderId="2" xfId="0" applyNumberFormat="1" applyFont="1" applyBorder="1" applyAlignment="1">
      <alignment horizontal="center" vertical="center"/>
    </xf>
    <xf numFmtId="165" fontId="2" fillId="3" borderId="2" xfId="0" applyNumberFormat="1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2" fillId="0" borderId="15" xfId="0" applyNumberFormat="1" applyFont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left" vertical="center" indent="1"/>
    </xf>
    <xf numFmtId="164" fontId="2" fillId="0" borderId="16" xfId="0" applyNumberFormat="1" applyFont="1" applyBorder="1" applyAlignment="1">
      <alignment horizontal="center" vertical="center"/>
    </xf>
    <xf numFmtId="165" fontId="2" fillId="0" borderId="5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 indent="1"/>
    </xf>
    <xf numFmtId="164" fontId="2" fillId="0" borderId="8" xfId="0" applyNumberFormat="1" applyFont="1" applyBorder="1" applyAlignment="1">
      <alignment horizontal="center" vertical="center"/>
    </xf>
    <xf numFmtId="165" fontId="2" fillId="0" borderId="7" xfId="0" applyNumberFormat="1" applyFont="1" applyBorder="1" applyAlignment="1">
      <alignment horizontal="center" vertical="center"/>
    </xf>
    <xf numFmtId="2" fontId="2" fillId="0" borderId="9" xfId="0" applyNumberFormat="1" applyFont="1" applyBorder="1" applyAlignment="1">
      <alignment horizontal="center" vertical="center"/>
    </xf>
    <xf numFmtId="2" fontId="2" fillId="3" borderId="10" xfId="0" applyNumberFormat="1" applyFont="1" applyFill="1" applyBorder="1" applyAlignment="1">
      <alignment horizontal="center" vertical="center"/>
    </xf>
    <xf numFmtId="2" fontId="2" fillId="0" borderId="10" xfId="0" applyNumberFormat="1" applyFont="1" applyBorder="1" applyAlignment="1">
      <alignment horizontal="center" vertical="center"/>
    </xf>
    <xf numFmtId="2" fontId="2" fillId="0" borderId="11" xfId="0" applyNumberFormat="1" applyFont="1" applyBorder="1" applyAlignment="1">
      <alignment horizontal="center" vertical="center"/>
    </xf>
    <xf numFmtId="1" fontId="2" fillId="0" borderId="8" xfId="0" applyNumberFormat="1" applyFont="1" applyBorder="1" applyAlignment="1">
      <alignment horizontal="center" vertical="center"/>
    </xf>
    <xf numFmtId="1" fontId="2" fillId="3" borderId="15" xfId="0" applyNumberFormat="1" applyFont="1" applyFill="1" applyBorder="1" applyAlignment="1">
      <alignment horizontal="center" vertical="center"/>
    </xf>
    <xf numFmtId="1" fontId="2" fillId="0" borderId="15" xfId="0" applyNumberFormat="1" applyFont="1" applyBorder="1" applyAlignment="1">
      <alignment horizontal="center" vertical="center"/>
    </xf>
    <xf numFmtId="1" fontId="2" fillId="0" borderId="16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quotePrefix="1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14" fontId="2" fillId="0" borderId="0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left" vertical="center"/>
    </xf>
    <xf numFmtId="0" fontId="1" fillId="2" borderId="14" xfId="0" applyFont="1" applyFill="1" applyBorder="1" applyAlignment="1">
      <alignment horizontal="center" vertical="center" wrapText="1"/>
    </xf>
    <xf numFmtId="0" fontId="1" fillId="2" borderId="17" xfId="0" quotePrefix="1" applyFont="1" applyFill="1" applyBorder="1" applyAlignment="1">
      <alignment horizontal="center" vertical="center" wrapText="1"/>
    </xf>
    <xf numFmtId="0" fontId="1" fillId="2" borderId="18" xfId="0" quotePrefix="1" applyFont="1" applyFill="1" applyBorder="1" applyAlignment="1">
      <alignment horizontal="center" vertical="center" wrapText="1"/>
    </xf>
    <xf numFmtId="0" fontId="1" fillId="2" borderId="14" xfId="0" quotePrefix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C66"/>
      <color rgb="FFFFFF99"/>
      <color rgb="FFCCEC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2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tr-TR" b="1">
                <a:solidFill>
                  <a:sysClr val="windowText" lastClr="000000"/>
                </a:solidFill>
              </a:rPr>
              <a:t>YGS Başarı Grafiği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2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FCC66"/>
            </a:solidFill>
            <a:ln w="9525" cap="flat" cmpd="sng" algn="ctr">
              <a:solidFill>
                <a:schemeClr val="tx1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'Sayfa1 (2)'!$B$7:$B$13</c:f>
              <c:strCache>
                <c:ptCount val="7"/>
                <c:pt idx="0">
                  <c:v>12/A</c:v>
                </c:pt>
                <c:pt idx="1">
                  <c:v>12/B</c:v>
                </c:pt>
                <c:pt idx="2">
                  <c:v>12/C</c:v>
                </c:pt>
                <c:pt idx="3">
                  <c:v>12/D</c:v>
                </c:pt>
                <c:pt idx="4">
                  <c:v>12/E</c:v>
                </c:pt>
                <c:pt idx="5">
                  <c:v>12/F</c:v>
                </c:pt>
                <c:pt idx="6">
                  <c:v>12/G</c:v>
                </c:pt>
              </c:strCache>
            </c:strRef>
          </c:cat>
          <c:val>
            <c:numRef>
              <c:f>'Sayfa1 (2)'!$N$7:$N$13</c:f>
              <c:numCache>
                <c:formatCode>0.000</c:formatCode>
                <c:ptCount val="7"/>
                <c:pt idx="0">
                  <c:v>500</c:v>
                </c:pt>
                <c:pt idx="1">
                  <c:v>400</c:v>
                </c:pt>
                <c:pt idx="2">
                  <c:v>385</c:v>
                </c:pt>
                <c:pt idx="3">
                  <c:v>445</c:v>
                </c:pt>
                <c:pt idx="4">
                  <c:v>265</c:v>
                </c:pt>
                <c:pt idx="5">
                  <c:v>312</c:v>
                </c:pt>
                <c:pt idx="6">
                  <c:v>495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37073344"/>
        <c:axId val="37064640"/>
      </c:barChart>
      <c:catAx>
        <c:axId val="3707334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37064640"/>
        <c:crosses val="autoZero"/>
        <c:auto val="1"/>
        <c:lblAlgn val="ctr"/>
        <c:lblOffset val="100"/>
        <c:noMultiLvlLbl val="0"/>
      </c:catAx>
      <c:valAx>
        <c:axId val="37064640"/>
        <c:scaling>
          <c:orientation val="minMax"/>
          <c:max val="500"/>
          <c:min val="25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37073344"/>
        <c:crossesAt val="1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56028</xdr:colOff>
      <xdr:row>16</xdr:row>
      <xdr:rowOff>29134</xdr:rowOff>
    </xdr:from>
    <xdr:to>
      <xdr:col>15</xdr:col>
      <xdr:colOff>0</xdr:colOff>
      <xdr:row>31</xdr:row>
      <xdr:rowOff>168087</xdr:rowOff>
    </xdr:to>
    <xdr:graphicFrame macro="">
      <xdr:nvGraphicFramePr>
        <xdr:cNvPr id="3" name="Grafik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15"/>
  <sheetViews>
    <sheetView tabSelected="1" zoomScaleNormal="100" workbookViewId="0">
      <selection activeCell="O7" sqref="O7"/>
    </sheetView>
  </sheetViews>
  <sheetFormatPr defaultRowHeight="15" x14ac:dyDescent="0.25"/>
  <cols>
    <col min="1" max="1" width="6.5703125" style="5" customWidth="1"/>
    <col min="2" max="2" width="10.7109375" style="5" customWidth="1"/>
    <col min="3" max="3" width="7.85546875" style="5" bestFit="1" customWidth="1"/>
    <col min="4" max="11" width="7.7109375" style="6" customWidth="1"/>
    <col min="12" max="12" width="1.5703125" style="6" customWidth="1"/>
    <col min="13" max="15" width="9.7109375" style="6" customWidth="1"/>
    <col min="16" max="16" width="11.42578125" style="11" bestFit="1" customWidth="1"/>
    <col min="17" max="17" width="13.140625" style="12" bestFit="1" customWidth="1"/>
    <col min="18" max="16384" width="9.140625" style="4"/>
  </cols>
  <sheetData>
    <row r="1" spans="1:19" ht="31.5" customHeight="1" x14ac:dyDescent="0.25">
      <c r="A1" s="54" t="s">
        <v>11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</row>
    <row r="2" spans="1:19" ht="18" customHeight="1" x14ac:dyDescent="0.25"/>
    <row r="3" spans="1:19" s="1" customFormat="1" ht="15" customHeight="1" x14ac:dyDescent="0.25">
      <c r="A3" s="56" t="s">
        <v>1</v>
      </c>
      <c r="B3" s="56"/>
      <c r="C3" s="59" t="s">
        <v>25</v>
      </c>
      <c r="D3" s="59"/>
      <c r="E3" s="59"/>
      <c r="F3" s="3"/>
      <c r="G3" s="3"/>
      <c r="H3" s="3"/>
      <c r="L3" s="3"/>
      <c r="M3" s="2" t="s">
        <v>12</v>
      </c>
      <c r="N3" s="58">
        <v>42299</v>
      </c>
      <c r="O3" s="58"/>
      <c r="P3" s="13"/>
      <c r="Q3" s="14"/>
    </row>
    <row r="4" spans="1:19" ht="18" customHeight="1" x14ac:dyDescent="0.25"/>
    <row r="5" spans="1:19" s="5" customFormat="1" ht="22.5" customHeight="1" x14ac:dyDescent="0.25">
      <c r="A5" s="55" t="s">
        <v>0</v>
      </c>
      <c r="B5" s="55" t="s">
        <v>13</v>
      </c>
      <c r="C5" s="57" t="s">
        <v>21</v>
      </c>
      <c r="D5" s="57" t="s">
        <v>8</v>
      </c>
      <c r="E5" s="57"/>
      <c r="F5" s="57" t="s">
        <v>10</v>
      </c>
      <c r="G5" s="57"/>
      <c r="H5" s="57" t="s">
        <v>23</v>
      </c>
      <c r="I5" s="57"/>
      <c r="J5" s="60" t="s">
        <v>9</v>
      </c>
      <c r="K5" s="57"/>
      <c r="L5"/>
      <c r="M5" s="61" t="s">
        <v>26</v>
      </c>
      <c r="N5" s="62"/>
      <c r="O5" s="63"/>
      <c r="P5" s="15"/>
      <c r="Q5" s="16"/>
    </row>
    <row r="6" spans="1:19" s="5" customFormat="1" ht="32.25" customHeight="1" x14ac:dyDescent="0.25">
      <c r="A6" s="55"/>
      <c r="B6" s="55"/>
      <c r="C6" s="55"/>
      <c r="D6" s="50" t="s">
        <v>22</v>
      </c>
      <c r="E6" s="50" t="s">
        <v>2</v>
      </c>
      <c r="F6" s="50" t="s">
        <v>22</v>
      </c>
      <c r="G6" s="50" t="s">
        <v>2</v>
      </c>
      <c r="H6" s="50" t="s">
        <v>22</v>
      </c>
      <c r="I6" s="50" t="s">
        <v>2</v>
      </c>
      <c r="J6" s="51" t="s">
        <v>22</v>
      </c>
      <c r="K6" s="20" t="s">
        <v>2</v>
      </c>
      <c r="L6"/>
      <c r="M6" s="53" t="s">
        <v>22</v>
      </c>
      <c r="N6" s="53" t="s">
        <v>24</v>
      </c>
      <c r="O6" s="52" t="s">
        <v>27</v>
      </c>
      <c r="P6" s="15"/>
      <c r="Q6" s="16"/>
    </row>
    <row r="7" spans="1:19" ht="20.100000000000001" customHeight="1" x14ac:dyDescent="0.25">
      <c r="A7" s="7">
        <v>1</v>
      </c>
      <c r="B7" s="39" t="s">
        <v>14</v>
      </c>
      <c r="C7" s="46">
        <v>20</v>
      </c>
      <c r="D7" s="24">
        <v>32</v>
      </c>
      <c r="E7" s="40">
        <f>D7/40</f>
        <v>0.8</v>
      </c>
      <c r="F7" s="24">
        <v>32</v>
      </c>
      <c r="G7" s="40">
        <f>F7/40</f>
        <v>0.8</v>
      </c>
      <c r="H7" s="24">
        <v>32</v>
      </c>
      <c r="I7" s="40">
        <f>H7/40</f>
        <v>0.8</v>
      </c>
      <c r="J7" s="42">
        <v>32</v>
      </c>
      <c r="K7" s="40">
        <f>J7/40</f>
        <v>0.8</v>
      </c>
      <c r="L7"/>
      <c r="M7" s="24">
        <f>SUM(D7,F7,H7,J7)</f>
        <v>128</v>
      </c>
      <c r="N7" s="41">
        <v>500</v>
      </c>
      <c r="O7" s="40">
        <f>M7/160</f>
        <v>0.8</v>
      </c>
      <c r="P7" s="11" t="s">
        <v>3</v>
      </c>
      <c r="Q7" s="17">
        <v>0.8</v>
      </c>
      <c r="S7" s="4" t="s">
        <v>3</v>
      </c>
    </row>
    <row r="8" spans="1:19" ht="20.100000000000001" customHeight="1" x14ac:dyDescent="0.25">
      <c r="A8" s="21">
        <v>2</v>
      </c>
      <c r="B8" s="29" t="s">
        <v>15</v>
      </c>
      <c r="C8" s="47">
        <v>18</v>
      </c>
      <c r="D8" s="25">
        <v>35</v>
      </c>
      <c r="E8" s="35">
        <f t="shared" ref="E8:G13" si="0">D8/40</f>
        <v>0.875</v>
      </c>
      <c r="F8" s="25">
        <v>35</v>
      </c>
      <c r="G8" s="35">
        <f t="shared" si="0"/>
        <v>0.875</v>
      </c>
      <c r="H8" s="25">
        <v>35</v>
      </c>
      <c r="I8" s="35">
        <f t="shared" ref="I8" si="1">H8/40</f>
        <v>0.875</v>
      </c>
      <c r="J8" s="43">
        <v>35</v>
      </c>
      <c r="K8" s="35">
        <f t="shared" ref="K8" si="2">J8/40</f>
        <v>0.875</v>
      </c>
      <c r="L8"/>
      <c r="M8" s="25">
        <f t="shared" ref="M8:M13" si="3">SUM(D8,F8,H8,J8)</f>
        <v>140</v>
      </c>
      <c r="N8" s="31">
        <v>400</v>
      </c>
      <c r="O8" s="35">
        <f t="shared" ref="O8:O13" si="4">M8/160</f>
        <v>0.875</v>
      </c>
      <c r="P8" s="11" t="s">
        <v>3</v>
      </c>
      <c r="Q8" s="17">
        <v>0.9</v>
      </c>
      <c r="S8" s="4" t="s">
        <v>3</v>
      </c>
    </row>
    <row r="9" spans="1:19" ht="20.100000000000001" customHeight="1" x14ac:dyDescent="0.25">
      <c r="A9" s="8">
        <v>3</v>
      </c>
      <c r="B9" s="28" t="s">
        <v>16</v>
      </c>
      <c r="C9" s="48">
        <v>34</v>
      </c>
      <c r="D9" s="26">
        <v>40</v>
      </c>
      <c r="E9" s="34">
        <f t="shared" si="0"/>
        <v>1</v>
      </c>
      <c r="F9" s="26">
        <v>40</v>
      </c>
      <c r="G9" s="34">
        <f t="shared" si="0"/>
        <v>1</v>
      </c>
      <c r="H9" s="26">
        <v>40</v>
      </c>
      <c r="I9" s="34">
        <f t="shared" ref="I9" si="5">H9/40</f>
        <v>1</v>
      </c>
      <c r="J9" s="44">
        <v>40</v>
      </c>
      <c r="K9" s="34">
        <f t="shared" ref="K9" si="6">J9/40</f>
        <v>1</v>
      </c>
      <c r="L9"/>
      <c r="M9" s="26">
        <f t="shared" si="3"/>
        <v>160</v>
      </c>
      <c r="N9" s="30">
        <v>385</v>
      </c>
      <c r="O9" s="34">
        <f t="shared" si="4"/>
        <v>1</v>
      </c>
      <c r="P9" s="11" t="s">
        <v>3</v>
      </c>
      <c r="Q9" s="17">
        <v>0.85</v>
      </c>
      <c r="S9" s="4" t="s">
        <v>3</v>
      </c>
    </row>
    <row r="10" spans="1:19" ht="20.100000000000001" customHeight="1" x14ac:dyDescent="0.25">
      <c r="A10" s="21">
        <v>4</v>
      </c>
      <c r="B10" s="29" t="s">
        <v>17</v>
      </c>
      <c r="C10" s="47">
        <v>26</v>
      </c>
      <c r="D10" s="25">
        <v>22</v>
      </c>
      <c r="E10" s="35">
        <f t="shared" si="0"/>
        <v>0.55000000000000004</v>
      </c>
      <c r="F10" s="25">
        <v>22</v>
      </c>
      <c r="G10" s="35">
        <f t="shared" si="0"/>
        <v>0.55000000000000004</v>
      </c>
      <c r="H10" s="25">
        <v>22</v>
      </c>
      <c r="I10" s="35">
        <f t="shared" ref="I10" si="7">H10/40</f>
        <v>0.55000000000000004</v>
      </c>
      <c r="J10" s="43">
        <v>22</v>
      </c>
      <c r="K10" s="35">
        <f t="shared" ref="K10" si="8">J10/40</f>
        <v>0.55000000000000004</v>
      </c>
      <c r="L10"/>
      <c r="M10" s="25">
        <f t="shared" si="3"/>
        <v>88</v>
      </c>
      <c r="N10" s="31">
        <v>445</v>
      </c>
      <c r="O10" s="35">
        <f t="shared" si="4"/>
        <v>0.55000000000000004</v>
      </c>
      <c r="P10" s="11" t="s">
        <v>4</v>
      </c>
      <c r="Q10" s="17">
        <v>1</v>
      </c>
      <c r="S10" s="4" t="s">
        <v>4</v>
      </c>
    </row>
    <row r="11" spans="1:19" ht="20.100000000000001" customHeight="1" x14ac:dyDescent="0.25">
      <c r="A11" s="8">
        <v>5</v>
      </c>
      <c r="B11" s="28" t="s">
        <v>18</v>
      </c>
      <c r="C11" s="48">
        <v>40</v>
      </c>
      <c r="D11" s="26">
        <v>29</v>
      </c>
      <c r="E11" s="34">
        <f t="shared" si="0"/>
        <v>0.72499999999999998</v>
      </c>
      <c r="F11" s="26">
        <v>29</v>
      </c>
      <c r="G11" s="34">
        <f t="shared" si="0"/>
        <v>0.72499999999999998</v>
      </c>
      <c r="H11" s="26">
        <v>29</v>
      </c>
      <c r="I11" s="34">
        <f t="shared" ref="I11" si="9">H11/40</f>
        <v>0.72499999999999998</v>
      </c>
      <c r="J11" s="44">
        <v>29</v>
      </c>
      <c r="K11" s="34">
        <f t="shared" ref="K11" si="10">J11/40</f>
        <v>0.72499999999999998</v>
      </c>
      <c r="L11"/>
      <c r="M11" s="26">
        <f t="shared" si="3"/>
        <v>116</v>
      </c>
      <c r="N11" s="30">
        <v>265</v>
      </c>
      <c r="O11" s="34">
        <f t="shared" si="4"/>
        <v>0.72499999999999998</v>
      </c>
      <c r="P11" s="11" t="s">
        <v>5</v>
      </c>
      <c r="Q11" s="17">
        <v>0.65</v>
      </c>
      <c r="S11" s="4" t="s">
        <v>5</v>
      </c>
    </row>
    <row r="12" spans="1:19" ht="20.100000000000001" customHeight="1" x14ac:dyDescent="0.25">
      <c r="A12" s="21">
        <v>6</v>
      </c>
      <c r="B12" s="29" t="s">
        <v>19</v>
      </c>
      <c r="C12" s="47">
        <v>11</v>
      </c>
      <c r="D12" s="25">
        <v>34</v>
      </c>
      <c r="E12" s="35">
        <f t="shared" si="0"/>
        <v>0.85</v>
      </c>
      <c r="F12" s="25">
        <v>34</v>
      </c>
      <c r="G12" s="35">
        <f t="shared" si="0"/>
        <v>0.85</v>
      </c>
      <c r="H12" s="25">
        <v>34</v>
      </c>
      <c r="I12" s="35">
        <f t="shared" ref="I12" si="11">H12/40</f>
        <v>0.85</v>
      </c>
      <c r="J12" s="43">
        <v>34</v>
      </c>
      <c r="K12" s="35">
        <f t="shared" ref="K12" si="12">J12/40</f>
        <v>0.85</v>
      </c>
      <c r="L12"/>
      <c r="M12" s="25">
        <f t="shared" si="3"/>
        <v>136</v>
      </c>
      <c r="N12" s="31">
        <v>312</v>
      </c>
      <c r="O12" s="35">
        <f t="shared" si="4"/>
        <v>0.85</v>
      </c>
      <c r="P12" s="11" t="s">
        <v>3</v>
      </c>
      <c r="Q12" s="17">
        <v>0.84</v>
      </c>
      <c r="S12" s="4" t="s">
        <v>3</v>
      </c>
    </row>
    <row r="13" spans="1:19" ht="20.100000000000001" customHeight="1" x14ac:dyDescent="0.25">
      <c r="A13" s="9">
        <v>7</v>
      </c>
      <c r="B13" s="36" t="s">
        <v>20</v>
      </c>
      <c r="C13" s="49">
        <v>19</v>
      </c>
      <c r="D13" s="27">
        <v>38</v>
      </c>
      <c r="E13" s="37">
        <f t="shared" si="0"/>
        <v>0.95</v>
      </c>
      <c r="F13" s="27">
        <v>38</v>
      </c>
      <c r="G13" s="37">
        <f t="shared" si="0"/>
        <v>0.95</v>
      </c>
      <c r="H13" s="27">
        <v>38</v>
      </c>
      <c r="I13" s="37">
        <f t="shared" ref="I13" si="13">H13/40</f>
        <v>0.95</v>
      </c>
      <c r="J13" s="45">
        <v>38</v>
      </c>
      <c r="K13" s="37">
        <f t="shared" ref="K13" si="14">J13/40</f>
        <v>0.95</v>
      </c>
      <c r="L13"/>
      <c r="M13" s="27">
        <f t="shared" si="3"/>
        <v>152</v>
      </c>
      <c r="N13" s="38">
        <v>495</v>
      </c>
      <c r="O13" s="37">
        <f t="shared" si="4"/>
        <v>0.95</v>
      </c>
      <c r="P13" s="11" t="s">
        <v>6</v>
      </c>
      <c r="Q13" s="18">
        <v>0.82</v>
      </c>
      <c r="S13" s="4" t="s">
        <v>6</v>
      </c>
    </row>
    <row r="14" spans="1:19" ht="14.25" customHeight="1" x14ac:dyDescent="0.25">
      <c r="C14" s="19"/>
      <c r="L14"/>
      <c r="O14" s="10"/>
    </row>
    <row r="15" spans="1:19" ht="21" customHeight="1" x14ac:dyDescent="0.25">
      <c r="A15" s="55" t="s">
        <v>7</v>
      </c>
      <c r="B15" s="55"/>
      <c r="C15" s="32">
        <f>AVERAGE(C7:C13)</f>
        <v>24</v>
      </c>
      <c r="D15" s="22">
        <f t="shared" ref="D15:K15" si="15">AVERAGE(D7:D13)</f>
        <v>32.857142857142854</v>
      </c>
      <c r="E15" s="23">
        <f t="shared" si="15"/>
        <v>0.8214285714285714</v>
      </c>
      <c r="F15" s="22">
        <f t="shared" si="15"/>
        <v>32.857142857142854</v>
      </c>
      <c r="G15" s="23">
        <f t="shared" si="15"/>
        <v>0.8214285714285714</v>
      </c>
      <c r="H15" s="22">
        <f t="shared" si="15"/>
        <v>32.857142857142854</v>
      </c>
      <c r="I15" s="23">
        <f t="shared" si="15"/>
        <v>0.8214285714285714</v>
      </c>
      <c r="J15" s="22">
        <f t="shared" si="15"/>
        <v>32.857142857142854</v>
      </c>
      <c r="K15" s="23">
        <f t="shared" si="15"/>
        <v>0.8214285714285714</v>
      </c>
      <c r="L15"/>
      <c r="M15" s="22">
        <f t="shared" ref="M15:O15" si="16">AVERAGE(M7:M13)</f>
        <v>131.42857142857142</v>
      </c>
      <c r="N15" s="33">
        <f t="shared" si="16"/>
        <v>400.28571428571428</v>
      </c>
      <c r="O15" s="23">
        <f t="shared" si="16"/>
        <v>0.8214285714285714</v>
      </c>
    </row>
  </sheetData>
  <mergeCells count="13">
    <mergeCell ref="A1:O1"/>
    <mergeCell ref="B5:B6"/>
    <mergeCell ref="A3:B3"/>
    <mergeCell ref="A15:B15"/>
    <mergeCell ref="N3:O3"/>
    <mergeCell ref="C3:E3"/>
    <mergeCell ref="C5:C6"/>
    <mergeCell ref="F5:G5"/>
    <mergeCell ref="J5:K5"/>
    <mergeCell ref="H5:I5"/>
    <mergeCell ref="A5:A6"/>
    <mergeCell ref="D5:E5"/>
    <mergeCell ref="M5:O5"/>
  </mergeCells>
  <printOptions horizontalCentered="1"/>
  <pageMargins left="0.39370078740157483" right="0.39370078740157483" top="0.74803149606299213" bottom="0.74803149606299213" header="0.31496062992125984" footer="0.31496062992125984"/>
  <pageSetup paperSize="9" scale="83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Sayfa1 (2)</vt:lpstr>
      <vt:lpstr>'Sayfa1 (2)'!Yazdırma_Alanı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2016-01-24T14:24:46Z</dcterms:modified>
</cp:coreProperties>
</file>