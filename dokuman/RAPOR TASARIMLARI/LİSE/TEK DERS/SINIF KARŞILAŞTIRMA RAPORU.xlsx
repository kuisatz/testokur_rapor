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I11" i="1" l="1"/>
  <c r="H11" i="1"/>
  <c r="I10" i="1"/>
  <c r="H10" i="1"/>
  <c r="I9" i="1"/>
  <c r="H9" i="1"/>
  <c r="I8" i="1"/>
  <c r="H8" i="1"/>
  <c r="I7" i="1"/>
  <c r="H7" i="1"/>
  <c r="I13" i="1" l="1"/>
  <c r="H13" i="1"/>
  <c r="G13" i="1"/>
  <c r="F13" i="1"/>
  <c r="E13" i="1"/>
  <c r="D13" i="1"/>
</calcChain>
</file>

<file path=xl/sharedStrings.xml><?xml version="1.0" encoding="utf-8"?>
<sst xmlns="http://schemas.openxmlformats.org/spreadsheetml/2006/main" count="20" uniqueCount="20">
  <si>
    <t>Sıra</t>
  </si>
  <si>
    <t>Sınıf</t>
  </si>
  <si>
    <t>Öğrenci
Sayısı</t>
  </si>
  <si>
    <t>Tarih</t>
  </si>
  <si>
    <t>En Düşük
Puan</t>
  </si>
  <si>
    <t>En Yüksek
Puan</t>
  </si>
  <si>
    <t>Ortalama
Net</t>
  </si>
  <si>
    <t>Ortalama
Puan</t>
  </si>
  <si>
    <t>Başarı
(%)</t>
  </si>
  <si>
    <t>ORTALAMALAR</t>
  </si>
  <si>
    <t>Sınıf:</t>
  </si>
  <si>
    <t>KİMYA DERSİ
1.Yazılı Sınav SINIF KARŞILAŞTIRMA RAPORU</t>
  </si>
  <si>
    <t>9/A</t>
  </si>
  <si>
    <t>9/B</t>
  </si>
  <si>
    <t>9/C</t>
  </si>
  <si>
    <t>9/D</t>
  </si>
  <si>
    <t>9/E</t>
  </si>
  <si>
    <t>Soru Sayısı         :</t>
  </si>
  <si>
    <t>Sınav Adı            :</t>
  </si>
  <si>
    <t>1.Yazılı Sınav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</si>
</sst>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64" fontId="2" fillId="0" borderId="9" xfId="0" applyNumberFormat="1" applyFont="1" applyBorder="1" applyAlignment="1">
      <alignment horizontal="left" vertical="center" indent="1"/>
    </xf>
    <xf numFmtId="2" fontId="2" fillId="0" borderId="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left" vertical="center" indent="1"/>
    </xf>
    <xf numFmtId="2" fontId="2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left" vertical="center" indent="1"/>
    </xf>
    <xf numFmtId="2" fontId="2" fillId="0" borderId="5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164" fontId="2" fillId="3" borderId="10" xfId="0" applyNumberFormat="1" applyFont="1" applyFill="1" applyBorder="1" applyAlignment="1">
      <alignment horizontal="left" vertical="center" indent="1"/>
    </xf>
    <xf numFmtId="0" fontId="2" fillId="3" borderId="17" xfId="0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7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9/A</c:v>
                </c:pt>
                <c:pt idx="1">
                  <c:v>9/B</c:v>
                </c:pt>
                <c:pt idx="2">
                  <c:v>9/C</c:v>
                </c:pt>
                <c:pt idx="3">
                  <c:v>9/D</c:v>
                </c:pt>
                <c:pt idx="4">
                  <c:v>9/E</c:v>
                </c:pt>
              </c:strCache>
            </c:strRef>
          </c:cat>
          <c:val>
            <c:numRef>
              <c:f>Sayfa1!$I$7:$I$11</c:f>
              <c:numCache>
                <c:formatCode>0.0%</c:formatCode>
                <c:ptCount val="5"/>
                <c:pt idx="0">
                  <c:v>0.6</c:v>
                </c:pt>
                <c:pt idx="1">
                  <c:v>0.80999999999999994</c:v>
                </c:pt>
                <c:pt idx="2">
                  <c:v>0.55000000000000004</c:v>
                </c:pt>
                <c:pt idx="3">
                  <c:v>0.65</c:v>
                </c:pt>
                <c:pt idx="4">
                  <c:v>0.9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225671568"/>
        <c:axId val="-1225671024"/>
      </c:barChart>
      <c:catAx>
        <c:axId val="-122567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225671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22567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22567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28575</xdr:rowOff>
    </xdr:from>
    <xdr:to>
      <xdr:col>8</xdr:col>
      <xdr:colOff>695325</xdr:colOff>
      <xdr:row>26</xdr:row>
      <xdr:rowOff>28575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tabSelected="1" workbookViewId="0">
      <selection activeCell="N12" sqref="N12"/>
    </sheetView>
  </sheetViews>
  <sheetFormatPr defaultRowHeight="15" x14ac:dyDescent="0.25"/>
  <cols>
    <col min="1" max="1" width="6.5703125" style="6" customWidth="1"/>
    <col min="2" max="2" width="10.7109375" style="6" customWidth="1"/>
    <col min="3" max="3" width="12.7109375" style="6" customWidth="1"/>
    <col min="4" max="4" width="10.7109375" style="5" customWidth="1"/>
    <col min="5" max="9" width="10.7109375" style="7" customWidth="1"/>
    <col min="10" max="16384" width="9.140625" style="5"/>
  </cols>
  <sheetData>
    <row r="1" spans="1:11" ht="40.5" customHeight="1" x14ac:dyDescent="0.25">
      <c r="A1" s="49" t="s">
        <v>11</v>
      </c>
      <c r="B1" s="50"/>
      <c r="C1" s="50"/>
      <c r="D1" s="50"/>
      <c r="E1" s="50"/>
      <c r="F1" s="50"/>
      <c r="G1" s="50"/>
      <c r="H1" s="50"/>
      <c r="I1" s="50"/>
    </row>
    <row r="2" spans="1:11" ht="9.75" customHeight="1" x14ac:dyDescent="0.25"/>
    <row r="3" spans="1:11" s="2" customFormat="1" ht="15" customHeight="1" x14ac:dyDescent="0.25">
      <c r="A3" s="51" t="s">
        <v>18</v>
      </c>
      <c r="B3" s="51"/>
      <c r="C3" s="3" t="s">
        <v>19</v>
      </c>
      <c r="D3" s="48"/>
      <c r="E3" s="48"/>
      <c r="F3" s="1"/>
      <c r="G3" s="1"/>
      <c r="H3" s="4" t="s">
        <v>10</v>
      </c>
      <c r="I3" s="8">
        <v>12</v>
      </c>
      <c r="J3" s="3"/>
      <c r="K3" s="3"/>
    </row>
    <row r="4" spans="1:11" s="2" customFormat="1" ht="15" customHeight="1" x14ac:dyDescent="0.25">
      <c r="A4" s="51" t="s">
        <v>17</v>
      </c>
      <c r="B4" s="51"/>
      <c r="C4" s="25">
        <v>20</v>
      </c>
      <c r="D4" s="25"/>
      <c r="E4" s="25"/>
      <c r="F4" s="1"/>
      <c r="G4" s="1"/>
      <c r="H4" s="4"/>
      <c r="I4" s="8"/>
      <c r="J4" s="3"/>
      <c r="K4" s="3"/>
    </row>
    <row r="5" spans="1:11" ht="10.5" customHeight="1" x14ac:dyDescent="0.25"/>
    <row r="6" spans="1:11" s="6" customFormat="1" ht="36.75" customHeight="1" x14ac:dyDescent="0.25">
      <c r="A6" s="33" t="s">
        <v>0</v>
      </c>
      <c r="B6" s="33" t="s">
        <v>1</v>
      </c>
      <c r="C6" s="33" t="s">
        <v>3</v>
      </c>
      <c r="D6" s="34" t="s">
        <v>2</v>
      </c>
      <c r="E6" s="35" t="s">
        <v>4</v>
      </c>
      <c r="F6" s="34" t="s">
        <v>5</v>
      </c>
      <c r="G6" s="34" t="s">
        <v>6</v>
      </c>
      <c r="H6" s="34" t="s">
        <v>7</v>
      </c>
      <c r="I6" s="34" t="s">
        <v>8</v>
      </c>
    </row>
    <row r="7" spans="1:11" ht="21.75" customHeight="1" x14ac:dyDescent="0.25">
      <c r="A7" s="9">
        <v>1</v>
      </c>
      <c r="B7" s="10" t="s">
        <v>12</v>
      </c>
      <c r="C7" s="11">
        <v>42328</v>
      </c>
      <c r="D7" s="30">
        <v>18</v>
      </c>
      <c r="E7" s="27">
        <v>25</v>
      </c>
      <c r="F7" s="12">
        <v>90</v>
      </c>
      <c r="G7" s="12">
        <v>12</v>
      </c>
      <c r="H7" s="12">
        <f>(100/$C$4)*G7</f>
        <v>60</v>
      </c>
      <c r="I7" s="23">
        <f>G7/$C$4</f>
        <v>0.6</v>
      </c>
    </row>
    <row r="8" spans="1:11" ht="21.75" customHeight="1" x14ac:dyDescent="0.25">
      <c r="A8" s="38">
        <v>2</v>
      </c>
      <c r="B8" s="39" t="s">
        <v>13</v>
      </c>
      <c r="C8" s="40">
        <v>42329</v>
      </c>
      <c r="D8" s="41">
        <v>20</v>
      </c>
      <c r="E8" s="42">
        <v>10</v>
      </c>
      <c r="F8" s="43">
        <v>100</v>
      </c>
      <c r="G8" s="43">
        <v>16.2</v>
      </c>
      <c r="H8" s="44">
        <f t="shared" ref="H8:H11" si="0">(100/$C$4)*G8</f>
        <v>81</v>
      </c>
      <c r="I8" s="45">
        <f t="shared" ref="I8:I11" si="1">G8/$C$4</f>
        <v>0.80999999999999994</v>
      </c>
    </row>
    <row r="9" spans="1:11" ht="21.75" customHeight="1" x14ac:dyDescent="0.25">
      <c r="A9" s="13">
        <v>3</v>
      </c>
      <c r="B9" s="14" t="s">
        <v>14</v>
      </c>
      <c r="C9" s="15">
        <v>42330</v>
      </c>
      <c r="D9" s="31">
        <v>19</v>
      </c>
      <c r="E9" s="28">
        <v>35</v>
      </c>
      <c r="F9" s="16">
        <v>100</v>
      </c>
      <c r="G9" s="16">
        <v>11</v>
      </c>
      <c r="H9" s="12">
        <f t="shared" si="0"/>
        <v>55</v>
      </c>
      <c r="I9" s="23">
        <f t="shared" si="1"/>
        <v>0.55000000000000004</v>
      </c>
    </row>
    <row r="10" spans="1:11" ht="21.75" customHeight="1" x14ac:dyDescent="0.25">
      <c r="A10" s="38">
        <v>4</v>
      </c>
      <c r="B10" s="39" t="s">
        <v>15</v>
      </c>
      <c r="C10" s="40">
        <v>42328</v>
      </c>
      <c r="D10" s="41">
        <v>17</v>
      </c>
      <c r="E10" s="42">
        <v>40</v>
      </c>
      <c r="F10" s="43">
        <v>85</v>
      </c>
      <c r="G10" s="43">
        <v>13</v>
      </c>
      <c r="H10" s="44">
        <f t="shared" si="0"/>
        <v>65</v>
      </c>
      <c r="I10" s="45">
        <f t="shared" si="1"/>
        <v>0.65</v>
      </c>
    </row>
    <row r="11" spans="1:11" ht="21.75" customHeight="1" x14ac:dyDescent="0.25">
      <c r="A11" s="17">
        <v>5</v>
      </c>
      <c r="B11" s="18" t="s">
        <v>16</v>
      </c>
      <c r="C11" s="19">
        <v>42329</v>
      </c>
      <c r="D11" s="32">
        <v>16</v>
      </c>
      <c r="E11" s="29">
        <v>45</v>
      </c>
      <c r="F11" s="20">
        <v>95</v>
      </c>
      <c r="G11" s="20">
        <v>18</v>
      </c>
      <c r="H11" s="21">
        <f t="shared" si="0"/>
        <v>90</v>
      </c>
      <c r="I11" s="24">
        <f t="shared" si="1"/>
        <v>0.9</v>
      </c>
    </row>
    <row r="12" spans="1:11" ht="11.25" customHeight="1" x14ac:dyDescent="0.25">
      <c r="B12" s="46"/>
      <c r="C12" s="46"/>
      <c r="D12" s="7"/>
      <c r="E12" s="26"/>
      <c r="F12" s="26"/>
      <c r="I12" s="22"/>
    </row>
    <row r="13" spans="1:11" x14ac:dyDescent="0.25">
      <c r="B13" s="47" t="s">
        <v>9</v>
      </c>
      <c r="C13" s="47"/>
      <c r="D13" s="36">
        <f t="shared" ref="D13:I13" si="2">AVERAGE(D7:D11)</f>
        <v>18</v>
      </c>
      <c r="E13" s="36">
        <f t="shared" si="2"/>
        <v>31</v>
      </c>
      <c r="F13" s="36">
        <f t="shared" si="2"/>
        <v>94</v>
      </c>
      <c r="G13" s="36">
        <f t="shared" si="2"/>
        <v>14.040000000000001</v>
      </c>
      <c r="H13" s="36">
        <f t="shared" si="2"/>
        <v>70.2</v>
      </c>
      <c r="I13" s="37">
        <f t="shared" si="2"/>
        <v>0.70199999999999996</v>
      </c>
    </row>
  </sheetData>
  <mergeCells count="6">
    <mergeCell ref="B12:C12"/>
    <mergeCell ref="B13:C13"/>
    <mergeCell ref="D3:E3"/>
    <mergeCell ref="A1:I1"/>
    <mergeCell ref="A3:B3"/>
    <mergeCell ref="A4:B4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2016-01-30T19:11:22Z</dcterms:modified>
</cp:coreProperties>
</file>