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O11" i="1" l="1"/>
  <c r="O10" i="1"/>
  <c r="O9" i="1"/>
  <c r="O8" i="1"/>
  <c r="O7" i="1"/>
  <c r="M11" i="1"/>
  <c r="M10" i="1"/>
  <c r="M9" i="1"/>
  <c r="M8" i="1"/>
  <c r="M7" i="1"/>
  <c r="N13" i="1" l="1"/>
  <c r="K8" i="1" l="1"/>
  <c r="K9" i="1"/>
  <c r="K10" i="1"/>
  <c r="K11" i="1"/>
  <c r="K7" i="1"/>
  <c r="I8" i="1"/>
  <c r="I9" i="1"/>
  <c r="I10" i="1"/>
  <c r="I11" i="1"/>
  <c r="I7" i="1"/>
  <c r="G8" i="1"/>
  <c r="G9" i="1"/>
  <c r="G10" i="1"/>
  <c r="G11" i="1"/>
  <c r="G7" i="1"/>
  <c r="E8" i="1"/>
  <c r="E9" i="1"/>
  <c r="E10" i="1"/>
  <c r="E11" i="1"/>
  <c r="E7" i="1"/>
  <c r="F13" i="1"/>
  <c r="H13" i="1"/>
  <c r="J13" i="1"/>
  <c r="D13" i="1"/>
  <c r="M13" i="1" l="1"/>
  <c r="I13" i="1"/>
  <c r="K13" i="1"/>
  <c r="O13" i="1"/>
  <c r="G13" i="1"/>
  <c r="E13" i="1"/>
</calcChain>
</file>

<file path=xl/sharedStrings.xml><?xml version="1.0" encoding="utf-8"?>
<sst xmlns="http://schemas.openxmlformats.org/spreadsheetml/2006/main" count="27" uniqueCount="20">
  <si>
    <t>Sıra</t>
  </si>
  <si>
    <t>Sınıf</t>
  </si>
  <si>
    <t>Öğrenci
Sayısı</t>
  </si>
  <si>
    <t>Sınav Adı</t>
  </si>
  <si>
    <t>ORTALAMALAR</t>
  </si>
  <si>
    <t>: 1.TEOG DENEME</t>
  </si>
  <si>
    <t>1.TEOG DENEME SINIF KARŞILAŞTIRMA RAPORU</t>
  </si>
  <si>
    <t>Türkçe</t>
  </si>
  <si>
    <t>Matematik</t>
  </si>
  <si>
    <t>Ort.
Net</t>
  </si>
  <si>
    <t>Başarı
%</t>
  </si>
  <si>
    <t>İngilizce</t>
  </si>
  <si>
    <t>Ort.
Başarı %</t>
  </si>
  <si>
    <t>Ort.
Puan</t>
  </si>
  <si>
    <t>Hayat Bilgisi</t>
  </si>
  <si>
    <t>2/A</t>
  </si>
  <si>
    <t>2/B</t>
  </si>
  <si>
    <t>2/C</t>
  </si>
  <si>
    <t>2/D</t>
  </si>
  <si>
    <t>2/E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</si>
</sst>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0" fillId="0" borderId="2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66CCFF"/>
      <color rgb="FFCCECFF"/>
      <color rgb="FF00CCFF"/>
      <color rgb="FF96E6FF"/>
      <color rgb="FF99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2/A</c:v>
                </c:pt>
                <c:pt idx="1">
                  <c:v>2/B</c:v>
                </c:pt>
                <c:pt idx="2">
                  <c:v>2/C</c:v>
                </c:pt>
                <c:pt idx="3">
                  <c:v>2/D</c:v>
                </c:pt>
                <c:pt idx="4">
                  <c:v>2/E</c:v>
                </c:pt>
              </c:strCache>
            </c:strRef>
          </c:cat>
          <c:val>
            <c:numRef>
              <c:f>Sayfa1!$D$7:$D$11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61652720"/>
        <c:axId val="-1061655440"/>
      </c:barChart>
      <c:catAx>
        <c:axId val="-106165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6165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6165544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616527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2/A</c:v>
                </c:pt>
                <c:pt idx="1">
                  <c:v>2/B</c:v>
                </c:pt>
                <c:pt idx="2">
                  <c:v>2/C</c:v>
                </c:pt>
                <c:pt idx="3">
                  <c:v>2/D</c:v>
                </c:pt>
                <c:pt idx="4">
                  <c:v>2/E</c:v>
                </c:pt>
              </c:strCache>
            </c:strRef>
          </c:cat>
          <c:val>
            <c:numRef>
              <c:f>Sayfa1!$H$7:$H$11</c:f>
              <c:numCache>
                <c:formatCode>0.00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61652176"/>
        <c:axId val="-1145111088"/>
      </c:barChart>
      <c:catAx>
        <c:axId val="-10616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45111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451110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616521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2/A</c:v>
                </c:pt>
                <c:pt idx="1">
                  <c:v>2/B</c:v>
                </c:pt>
                <c:pt idx="2">
                  <c:v>2/C</c:v>
                </c:pt>
                <c:pt idx="3">
                  <c:v>2/D</c:v>
                </c:pt>
                <c:pt idx="4">
                  <c:v>2/E</c:v>
                </c:pt>
              </c:strCache>
            </c:strRef>
          </c:cat>
          <c:val>
            <c:numRef>
              <c:f>Sayfa1!$F$7:$F$11</c:f>
              <c:numCache>
                <c:formatCode>0.00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10.5</c:v>
                </c:pt>
                <c:pt idx="3">
                  <c:v>13.5</c:v>
                </c:pt>
                <c:pt idx="4">
                  <c:v>14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45115984"/>
        <c:axId val="-1145111632"/>
      </c:barChart>
      <c:catAx>
        <c:axId val="-11451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45111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4511163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4511598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2/A</c:v>
                </c:pt>
                <c:pt idx="1">
                  <c:v>2/B</c:v>
                </c:pt>
                <c:pt idx="2">
                  <c:v>2/C</c:v>
                </c:pt>
                <c:pt idx="3">
                  <c:v>2/D</c:v>
                </c:pt>
                <c:pt idx="4">
                  <c:v>2/E</c:v>
                </c:pt>
              </c:strCache>
            </c:strRef>
          </c:cat>
          <c:val>
            <c:numRef>
              <c:f>Sayfa1!$J$7:$J$11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45112176"/>
        <c:axId val="-1145113264"/>
      </c:barChart>
      <c:catAx>
        <c:axId val="-114511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45113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4511326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451121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257176</xdr:colOff>
      <xdr:row>14</xdr:row>
      <xdr:rowOff>133350</xdr:rowOff>
    </xdr:from>
    <xdr:to>
      <xdr:col>5</xdr:col>
      <xdr:colOff>9525</xdr:colOff>
      <xdr:row>22</xdr:row>
      <xdr:rowOff>9525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222250</xdr:colOff>
      <xdr:row>26</xdr:row>
      <xdr:rowOff>62442</xdr:rowOff>
    </xdr:from>
    <xdr:to>
      <xdr:col>4</xdr:col>
      <xdr:colOff>502707</xdr:colOff>
      <xdr:row>33</xdr:row>
      <xdr:rowOff>129117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190499</xdr:colOff>
      <xdr:row>14</xdr:row>
      <xdr:rowOff>155575</xdr:rowOff>
    </xdr:from>
    <xdr:to>
      <xdr:col>14</xdr:col>
      <xdr:colOff>306917</xdr:colOff>
      <xdr:row>22</xdr:row>
      <xdr:rowOff>31750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169334</xdr:colOff>
      <xdr:row>26</xdr:row>
      <xdr:rowOff>28574</xdr:rowOff>
    </xdr:from>
    <xdr:to>
      <xdr:col>14</xdr:col>
      <xdr:colOff>296334</xdr:colOff>
      <xdr:row>33</xdr:row>
      <xdr:rowOff>95249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306917</xdr:colOff>
      <xdr:row>33</xdr:row>
      <xdr:rowOff>41275</xdr:rowOff>
    </xdr:from>
    <xdr:to>
      <xdr:col>13</xdr:col>
      <xdr:colOff>322792</xdr:colOff>
      <xdr:row>34</xdr:row>
      <xdr:rowOff>88900</xdr:rowOff>
    </xdr:to>
    <xdr:sp macro="" textlink="">
      <xdr:nvSpPr>
        <xdr:cNvPr id="11" name="Metin kutusu 10"/>
        <xdr:cNvSpPr txBox="1"/>
      </xdr:nvSpPr>
      <xdr:spPr>
        <a:xfrm>
          <a:off x="5535084" y="7163858"/>
          <a:ext cx="116945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İNGİLİZCE</a:t>
          </a:r>
        </a:p>
      </xdr:txBody>
    </xdr:sp>
    <xdr:clientData/>
  </xdr:twoCellAnchor>
  <xdr:twoCellAnchor>
    <xdr:from>
      <xdr:col>1</xdr:col>
      <xdr:colOff>200025</xdr:colOff>
      <xdr:row>21</xdr:row>
      <xdr:rowOff>133350</xdr:rowOff>
    </xdr:from>
    <xdr:to>
      <xdr:col>4</xdr:col>
      <xdr:colOff>28575</xdr:colOff>
      <xdr:row>22</xdr:row>
      <xdr:rowOff>180975</xdr:rowOff>
    </xdr:to>
    <xdr:sp macro="" textlink="">
      <xdr:nvSpPr>
        <xdr:cNvPr id="2" name="Metin kutusu 1"/>
        <xdr:cNvSpPr txBox="1"/>
      </xdr:nvSpPr>
      <xdr:spPr>
        <a:xfrm>
          <a:off x="638175" y="5172075"/>
          <a:ext cx="150495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TÜRKÇE</a:t>
          </a:r>
        </a:p>
      </xdr:txBody>
    </xdr:sp>
    <xdr:clientData/>
  </xdr:twoCellAnchor>
  <xdr:twoCellAnchor>
    <xdr:from>
      <xdr:col>1</xdr:col>
      <xdr:colOff>345016</xdr:colOff>
      <xdr:row>33</xdr:row>
      <xdr:rowOff>81492</xdr:rowOff>
    </xdr:from>
    <xdr:to>
      <xdr:col>4</xdr:col>
      <xdr:colOff>178858</xdr:colOff>
      <xdr:row>34</xdr:row>
      <xdr:rowOff>129117</xdr:rowOff>
    </xdr:to>
    <xdr:sp macro="" textlink="">
      <xdr:nvSpPr>
        <xdr:cNvPr id="7" name="Metin kutusu 6"/>
        <xdr:cNvSpPr txBox="1"/>
      </xdr:nvSpPr>
      <xdr:spPr>
        <a:xfrm>
          <a:off x="778933" y="7204075"/>
          <a:ext cx="1516592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HAYAT BİLGİSİ</a:t>
          </a:r>
        </a:p>
      </xdr:txBody>
    </xdr:sp>
    <xdr:clientData/>
  </xdr:twoCellAnchor>
  <xdr:twoCellAnchor>
    <xdr:from>
      <xdr:col>10</xdr:col>
      <xdr:colOff>232833</xdr:colOff>
      <xdr:row>21</xdr:row>
      <xdr:rowOff>144992</xdr:rowOff>
    </xdr:from>
    <xdr:to>
      <xdr:col>13</xdr:col>
      <xdr:colOff>336549</xdr:colOff>
      <xdr:row>23</xdr:row>
      <xdr:rowOff>2117</xdr:rowOff>
    </xdr:to>
    <xdr:sp macro="" textlink="">
      <xdr:nvSpPr>
        <xdr:cNvPr id="6" name="Metin kutusu 5"/>
        <xdr:cNvSpPr txBox="1"/>
      </xdr:nvSpPr>
      <xdr:spPr>
        <a:xfrm>
          <a:off x="5461000" y="5172075"/>
          <a:ext cx="1257299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MATEMATİK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Normal="100" workbookViewId="0">
      <selection activeCell="F2" sqref="F2"/>
    </sheetView>
  </sheetViews>
  <sheetFormatPr defaultRowHeight="15" x14ac:dyDescent="0.25"/>
  <cols>
    <col min="1" max="1" width="6.5703125" style="1" customWidth="1"/>
    <col min="2" max="3" width="8.7109375" style="1" customWidth="1"/>
    <col min="4" max="4" width="7.7109375" style="3" customWidth="1"/>
    <col min="5" max="11" width="7.7109375" style="2" customWidth="1"/>
    <col min="12" max="12" width="0.7109375" style="3" customWidth="1"/>
    <col min="13" max="15" width="8.7109375" style="3" customWidth="1"/>
    <col min="16" max="16384" width="9.140625" style="3"/>
  </cols>
  <sheetData>
    <row r="1" spans="1:15" s="11" customFormat="1" ht="31.5" customHeight="1" x14ac:dyDescent="0.25">
      <c r="A1" s="59" t="s">
        <v>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s="11" customFormat="1" ht="15" customHeight="1" x14ac:dyDescent="0.25">
      <c r="A2" s="12"/>
      <c r="B2" s="51"/>
      <c r="C2" s="51"/>
      <c r="D2" s="10"/>
      <c r="E2" s="52"/>
      <c r="F2" s="52"/>
      <c r="G2" s="52"/>
      <c r="H2" s="52"/>
      <c r="I2" s="52"/>
      <c r="J2" s="52"/>
      <c r="K2" s="52"/>
      <c r="L2" s="10"/>
      <c r="M2" s="10"/>
      <c r="N2" s="10"/>
    </row>
    <row r="3" spans="1:15" s="5" customFormat="1" ht="15" customHeight="1" x14ac:dyDescent="0.25">
      <c r="A3" s="55" t="s">
        <v>3</v>
      </c>
      <c r="B3" s="55"/>
      <c r="C3" s="56" t="s">
        <v>5</v>
      </c>
      <c r="D3" s="56"/>
      <c r="E3" s="56"/>
      <c r="F3" s="4"/>
      <c r="G3" s="4"/>
      <c r="H3" s="4"/>
      <c r="I3" s="4"/>
      <c r="J3" s="4"/>
      <c r="K3" s="4"/>
      <c r="L3" s="63"/>
      <c r="M3" s="63"/>
      <c r="N3" s="62">
        <v>42384</v>
      </c>
      <c r="O3" s="62"/>
    </row>
    <row r="4" spans="1:15" ht="15" customHeight="1" x14ac:dyDescent="0.25"/>
    <row r="5" spans="1:15" s="13" customFormat="1" ht="22.5" customHeight="1" x14ac:dyDescent="0.25">
      <c r="A5" s="57" t="s">
        <v>0</v>
      </c>
      <c r="B5" s="57" t="s">
        <v>1</v>
      </c>
      <c r="C5" s="58" t="s">
        <v>2</v>
      </c>
      <c r="D5" s="57" t="s">
        <v>7</v>
      </c>
      <c r="E5" s="57"/>
      <c r="F5" s="57" t="s">
        <v>8</v>
      </c>
      <c r="G5" s="57"/>
      <c r="H5" s="57" t="s">
        <v>14</v>
      </c>
      <c r="I5" s="57"/>
      <c r="J5" s="57" t="s">
        <v>11</v>
      </c>
      <c r="K5" s="57"/>
      <c r="L5" s="18"/>
      <c r="M5" s="60" t="s">
        <v>9</v>
      </c>
      <c r="N5" s="60" t="s">
        <v>13</v>
      </c>
      <c r="O5" s="60" t="s">
        <v>12</v>
      </c>
    </row>
    <row r="6" spans="1:15" s="1" customFormat="1" ht="30" x14ac:dyDescent="0.25">
      <c r="A6" s="57"/>
      <c r="B6" s="57"/>
      <c r="C6" s="58"/>
      <c r="D6" s="46" t="s">
        <v>9</v>
      </c>
      <c r="E6" s="46" t="s">
        <v>10</v>
      </c>
      <c r="F6" s="46" t="s">
        <v>9</v>
      </c>
      <c r="G6" s="46" t="s">
        <v>10</v>
      </c>
      <c r="H6" s="46" t="s">
        <v>9</v>
      </c>
      <c r="I6" s="46" t="s">
        <v>10</v>
      </c>
      <c r="J6" s="46" t="s">
        <v>9</v>
      </c>
      <c r="K6" s="46" t="s">
        <v>10</v>
      </c>
      <c r="L6" s="19"/>
      <c r="M6" s="61"/>
      <c r="N6" s="61"/>
      <c r="O6" s="61"/>
    </row>
    <row r="7" spans="1:15" ht="21.75" customHeight="1" x14ac:dyDescent="0.25">
      <c r="A7" s="22">
        <v>1</v>
      </c>
      <c r="B7" s="23" t="s">
        <v>15</v>
      </c>
      <c r="C7" s="24">
        <v>20</v>
      </c>
      <c r="D7" s="25">
        <v>18</v>
      </c>
      <c r="E7" s="26">
        <f>D7*5/100</f>
        <v>0.9</v>
      </c>
      <c r="F7" s="25">
        <v>12</v>
      </c>
      <c r="G7" s="26">
        <f>F7*5/100</f>
        <v>0.6</v>
      </c>
      <c r="H7" s="25">
        <v>17</v>
      </c>
      <c r="I7" s="26">
        <f>H7*5/100</f>
        <v>0.85</v>
      </c>
      <c r="J7" s="25">
        <v>18</v>
      </c>
      <c r="K7" s="26">
        <f>J7*5/100</f>
        <v>0.9</v>
      </c>
      <c r="M7" s="31">
        <f>AVERAGE(D7,F7,H7,J7)</f>
        <v>16.25</v>
      </c>
      <c r="N7" s="31">
        <v>550</v>
      </c>
      <c r="O7" s="32">
        <f>AVERAGE(E7,G7,I7,K7)</f>
        <v>0.8125</v>
      </c>
    </row>
    <row r="8" spans="1:15" ht="21.75" customHeight="1" x14ac:dyDescent="0.25">
      <c r="A8" s="39">
        <v>2</v>
      </c>
      <c r="B8" s="40" t="s">
        <v>16</v>
      </c>
      <c r="C8" s="41">
        <v>22</v>
      </c>
      <c r="D8" s="42">
        <v>15</v>
      </c>
      <c r="E8" s="43">
        <f t="shared" ref="E8:E11" si="0">D8*5/100</f>
        <v>0.75</v>
      </c>
      <c r="F8" s="42">
        <v>11</v>
      </c>
      <c r="G8" s="43">
        <f t="shared" ref="G8:G11" si="1">F8*5/100</f>
        <v>0.55000000000000004</v>
      </c>
      <c r="H8" s="42">
        <v>15</v>
      </c>
      <c r="I8" s="43">
        <f t="shared" ref="I8:I11" si="2">H8*5/100</f>
        <v>0.75</v>
      </c>
      <c r="J8" s="42">
        <v>15</v>
      </c>
      <c r="K8" s="43">
        <f t="shared" ref="K8:K11" si="3">J8*5/100</f>
        <v>0.75</v>
      </c>
      <c r="M8" s="44">
        <f>AVERAGE(D8,F8,H8,J8)</f>
        <v>14</v>
      </c>
      <c r="N8" s="44">
        <v>535.20000000000005</v>
      </c>
      <c r="O8" s="45">
        <f>AVERAGE(E8,G8,I8,K8)</f>
        <v>0.7</v>
      </c>
    </row>
    <row r="9" spans="1:15" ht="21.75" customHeight="1" x14ac:dyDescent="0.25">
      <c r="A9" s="7">
        <v>3</v>
      </c>
      <c r="B9" s="6" t="s">
        <v>17</v>
      </c>
      <c r="C9" s="14">
        <v>19</v>
      </c>
      <c r="D9" s="16">
        <v>16</v>
      </c>
      <c r="E9" s="20">
        <f t="shared" si="0"/>
        <v>0.8</v>
      </c>
      <c r="F9" s="16">
        <v>10.5</v>
      </c>
      <c r="G9" s="20">
        <f t="shared" si="1"/>
        <v>0.52500000000000002</v>
      </c>
      <c r="H9" s="16">
        <v>13</v>
      </c>
      <c r="I9" s="20">
        <f t="shared" si="2"/>
        <v>0.65</v>
      </c>
      <c r="J9" s="16">
        <v>16</v>
      </c>
      <c r="K9" s="20">
        <f t="shared" si="3"/>
        <v>0.8</v>
      </c>
      <c r="M9" s="29">
        <f>AVERAGE(D9,F9,H9,J9)</f>
        <v>13.875</v>
      </c>
      <c r="N9" s="29">
        <v>533</v>
      </c>
      <c r="O9" s="27">
        <f>AVERAGE(E9,G9,I9,K9)</f>
        <v>0.69375000000000009</v>
      </c>
    </row>
    <row r="10" spans="1:15" ht="21.75" customHeight="1" x14ac:dyDescent="0.25">
      <c r="A10" s="39">
        <v>4</v>
      </c>
      <c r="B10" s="40" t="s">
        <v>18</v>
      </c>
      <c r="C10" s="41">
        <v>17</v>
      </c>
      <c r="D10" s="42">
        <v>16</v>
      </c>
      <c r="E10" s="43">
        <f t="shared" si="0"/>
        <v>0.8</v>
      </c>
      <c r="F10" s="42">
        <v>13.5</v>
      </c>
      <c r="G10" s="43">
        <f t="shared" si="1"/>
        <v>0.67500000000000004</v>
      </c>
      <c r="H10" s="42">
        <v>19</v>
      </c>
      <c r="I10" s="43">
        <f t="shared" si="2"/>
        <v>0.95</v>
      </c>
      <c r="J10" s="42">
        <v>16</v>
      </c>
      <c r="K10" s="43">
        <f t="shared" si="3"/>
        <v>0.8</v>
      </c>
      <c r="M10" s="44">
        <f>AVERAGE(D10,F10,H10,J10)</f>
        <v>16.125</v>
      </c>
      <c r="N10" s="44">
        <v>540</v>
      </c>
      <c r="O10" s="45">
        <f>AVERAGE(E10,G10,I10,K10)</f>
        <v>0.80624999999999991</v>
      </c>
    </row>
    <row r="11" spans="1:15" ht="21.75" customHeight="1" x14ac:dyDescent="0.25">
      <c r="A11" s="8">
        <v>5</v>
      </c>
      <c r="B11" s="9" t="s">
        <v>19</v>
      </c>
      <c r="C11" s="15">
        <v>16</v>
      </c>
      <c r="D11" s="17">
        <v>18</v>
      </c>
      <c r="E11" s="21">
        <f t="shared" si="0"/>
        <v>0.9</v>
      </c>
      <c r="F11" s="17">
        <v>14</v>
      </c>
      <c r="G11" s="21">
        <f t="shared" si="1"/>
        <v>0.7</v>
      </c>
      <c r="H11" s="17">
        <v>18</v>
      </c>
      <c r="I11" s="21">
        <f t="shared" si="2"/>
        <v>0.9</v>
      </c>
      <c r="J11" s="17">
        <v>18</v>
      </c>
      <c r="K11" s="21">
        <f t="shared" si="3"/>
        <v>0.9</v>
      </c>
      <c r="M11" s="30">
        <f>AVERAGE(D11,F11,H11,J11)</f>
        <v>17</v>
      </c>
      <c r="N11" s="30">
        <v>620</v>
      </c>
      <c r="O11" s="28">
        <f>AVERAGE(E11,G11,I11,K11)</f>
        <v>0.85</v>
      </c>
    </row>
    <row r="12" spans="1:15" ht="12" customHeight="1" x14ac:dyDescent="0.25">
      <c r="B12" s="54"/>
      <c r="C12" s="54"/>
      <c r="D12" s="2"/>
    </row>
    <row r="13" spans="1:15" ht="21" customHeight="1" x14ac:dyDescent="0.25">
      <c r="A13" s="53" t="s">
        <v>4</v>
      </c>
      <c r="B13" s="53"/>
      <c r="C13" s="53"/>
      <c r="D13" s="47">
        <f>AVERAGE(D7:D11)</f>
        <v>16.600000000000001</v>
      </c>
      <c r="E13" s="48">
        <f t="shared" ref="E13:K13" si="4">AVERAGE(E7:E11)</f>
        <v>0.83000000000000007</v>
      </c>
      <c r="F13" s="47">
        <f t="shared" si="4"/>
        <v>12.2</v>
      </c>
      <c r="G13" s="48">
        <f t="shared" si="4"/>
        <v>0.61</v>
      </c>
      <c r="H13" s="47">
        <f t="shared" si="4"/>
        <v>16.399999999999999</v>
      </c>
      <c r="I13" s="48">
        <f t="shared" si="4"/>
        <v>0.82000000000000006</v>
      </c>
      <c r="J13" s="47">
        <f t="shared" si="4"/>
        <v>16.600000000000001</v>
      </c>
      <c r="K13" s="48">
        <f t="shared" si="4"/>
        <v>0.83000000000000007</v>
      </c>
      <c r="M13" s="49">
        <f>AVERAGE(M7:M11)</f>
        <v>15.45</v>
      </c>
      <c r="N13" s="49">
        <f>AVERAGE(N7:N11)</f>
        <v>555.64</v>
      </c>
      <c r="O13" s="50">
        <f>AVERAGE(O7:O11)</f>
        <v>0.77249999999999996</v>
      </c>
    </row>
    <row r="14" spans="1:15" s="36" customFormat="1" ht="21" customHeight="1" x14ac:dyDescent="0.25">
      <c r="A14" s="19"/>
      <c r="B14" s="33"/>
      <c r="C14" s="33"/>
      <c r="D14" s="34"/>
      <c r="E14" s="35"/>
      <c r="F14" s="34"/>
      <c r="G14" s="35"/>
      <c r="H14" s="34"/>
      <c r="I14" s="35"/>
      <c r="J14" s="34"/>
      <c r="K14" s="35"/>
      <c r="M14" s="37"/>
      <c r="N14" s="37"/>
      <c r="O14" s="38"/>
    </row>
  </sheetData>
  <mergeCells count="17">
    <mergeCell ref="A1:O1"/>
    <mergeCell ref="N5:N6"/>
    <mergeCell ref="N3:O3"/>
    <mergeCell ref="L3:M3"/>
    <mergeCell ref="M5:M6"/>
    <mergeCell ref="O5:O6"/>
    <mergeCell ref="F5:G5"/>
    <mergeCell ref="H5:I5"/>
    <mergeCell ref="J5:K5"/>
    <mergeCell ref="A13:C13"/>
    <mergeCell ref="B12:C12"/>
    <mergeCell ref="A3:B3"/>
    <mergeCell ref="C3:E3"/>
    <mergeCell ref="D5:E5"/>
    <mergeCell ref="C5:C6"/>
    <mergeCell ref="B5:B6"/>
    <mergeCell ref="A5:A6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8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2016-01-30T20:01:53Z</dcterms:modified>
</cp:coreProperties>
</file>