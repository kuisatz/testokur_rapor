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X29" i="1" l="1"/>
  <c r="W30" i="1" l="1"/>
  <c r="H30" i="1" l="1"/>
  <c r="I29" i="1"/>
  <c r="I30" i="1" s="1"/>
  <c r="J29" i="1"/>
  <c r="J30" i="1" s="1"/>
  <c r="K29" i="1"/>
  <c r="K30" i="1" s="1"/>
  <c r="L29" i="1"/>
  <c r="L30" i="1" s="1"/>
  <c r="M29" i="1"/>
  <c r="M30" i="1" s="1"/>
  <c r="N29" i="1"/>
  <c r="N30" i="1" s="1"/>
  <c r="O29" i="1"/>
  <c r="O30" i="1" s="1"/>
  <c r="P29" i="1"/>
  <c r="P30" i="1" s="1"/>
  <c r="Q29" i="1"/>
  <c r="Q30" i="1" s="1"/>
  <c r="R29" i="1"/>
  <c r="R30" i="1" s="1"/>
  <c r="S29" i="1"/>
  <c r="S30" i="1" s="1"/>
  <c r="T29" i="1"/>
  <c r="T30" i="1" s="1"/>
  <c r="U29" i="1"/>
  <c r="U30" i="1" s="1"/>
  <c r="V29" i="1"/>
  <c r="V30" i="1" s="1"/>
  <c r="G29" i="1"/>
  <c r="G30" i="1" s="1"/>
</calcChain>
</file>

<file path=xl/sharedStrings.xml><?xml version="1.0" encoding="utf-8"?>
<sst xmlns="http://schemas.openxmlformats.org/spreadsheetml/2006/main" count="105" uniqueCount="39">
  <si>
    <t>Sıra</t>
  </si>
  <si>
    <t>Öğr. No</t>
  </si>
  <si>
    <t>Adı Soyadı</t>
  </si>
  <si>
    <t>Sınıf</t>
  </si>
  <si>
    <t>Net</t>
  </si>
  <si>
    <t>Puan</t>
  </si>
  <si>
    <t>ASLI KAVAKLI</t>
  </si>
  <si>
    <t>MELEK GÖÇMEN</t>
  </si>
  <si>
    <t>RAMAZAN KARATAŞ</t>
  </si>
  <si>
    <t>HAMDİ ŞENSÜER</t>
  </si>
  <si>
    <t>A</t>
  </si>
  <si>
    <t>7/A</t>
  </si>
  <si>
    <t>Genel
Sıra</t>
  </si>
  <si>
    <t>Kit.T.</t>
  </si>
  <si>
    <t>Sınav Adı</t>
  </si>
  <si>
    <t>Sınav Tarihi</t>
  </si>
  <si>
    <t>:</t>
  </si>
  <si>
    <t>Sınıf :</t>
  </si>
  <si>
    <t>Şube :</t>
  </si>
  <si>
    <t>1. DENEME SINAVI</t>
  </si>
  <si>
    <t>D</t>
  </si>
  <si>
    <t>Y</t>
  </si>
  <si>
    <t>N</t>
  </si>
  <si>
    <t>Türkçe</t>
  </si>
  <si>
    <t>Matematik</t>
  </si>
  <si>
    <t>İngilizce</t>
  </si>
  <si>
    <t xml:space="preserve">ORTALAMALAR :    </t>
  </si>
  <si>
    <t xml:space="preserve">BAŞARI (%) :    </t>
  </si>
  <si>
    <t>Hayat Bilgisi</t>
  </si>
  <si>
    <t>Fen Bilimleri</t>
  </si>
  <si>
    <t>2/A</t>
  </si>
  <si>
    <t>B</t>
  </si>
  <si>
    <t>Toplam</t>
  </si>
  <si>
    <t>Başarı
(%)</t>
  </si>
  <si>
    <t>1. DENEME SINAVI SINAV SONUÇ LİSTESİ</t>
  </si>
  <si>
    <t>Sınıf
Sıra</t>
  </si>
  <si>
    <t>İlçe
Sıra</t>
  </si>
  <si>
    <t>İl
Sıra</t>
  </si>
  <si>
    <t>Okul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</si>
</sst>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2" fontId="3" fillId="0" borderId="8" xfId="1" applyNumberFormat="1" applyFont="1" applyBorder="1" applyAlignment="1">
      <alignment horizontal="center" vertical="center"/>
    </xf>
    <xf numFmtId="2" fontId="3" fillId="0" borderId="5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2" fontId="3" fillId="0" borderId="18" xfId="1" applyNumberFormat="1" applyFont="1" applyBorder="1" applyAlignment="1">
      <alignment horizontal="center" vertical="center"/>
    </xf>
    <xf numFmtId="2" fontId="3" fillId="0" borderId="21" xfId="1" applyNumberFormat="1" applyFont="1" applyBorder="1" applyAlignment="1">
      <alignment horizontal="center" vertical="center"/>
    </xf>
    <xf numFmtId="2" fontId="3" fillId="0" borderId="13" xfId="1" applyNumberFormat="1" applyFont="1" applyBorder="1" applyAlignment="1">
      <alignment horizontal="center" vertical="center"/>
    </xf>
    <xf numFmtId="165" fontId="3" fillId="0" borderId="18" xfId="1" applyNumberFormat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left" vertical="center" indent="1"/>
    </xf>
    <xf numFmtId="0" fontId="3" fillId="3" borderId="4" xfId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2" fontId="3" fillId="3" borderId="8" xfId="1" applyNumberFormat="1" applyFont="1" applyFill="1" applyBorder="1" applyAlignment="1">
      <alignment horizontal="center" vertical="center"/>
    </xf>
    <xf numFmtId="2" fontId="3" fillId="3" borderId="5" xfId="1" applyNumberFormat="1" applyFont="1" applyFill="1" applyBorder="1" applyAlignment="1">
      <alignment horizontal="center" vertical="center"/>
    </xf>
    <xf numFmtId="2" fontId="3" fillId="3" borderId="13" xfId="1" applyNumberFormat="1" applyFont="1" applyFill="1" applyBorder="1" applyAlignment="1">
      <alignment horizontal="center" vertical="center"/>
    </xf>
    <xf numFmtId="165" fontId="3" fillId="3" borderId="7" xfId="1" applyNumberFormat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left" vertical="center" indent="1"/>
    </xf>
    <xf numFmtId="0" fontId="3" fillId="3" borderId="10" xfId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2" fontId="3" fillId="3" borderId="11" xfId="1" applyNumberFormat="1" applyFont="1" applyFill="1" applyBorder="1" applyAlignment="1">
      <alignment horizontal="center" vertical="center"/>
    </xf>
    <xf numFmtId="2" fontId="3" fillId="3" borderId="20" xfId="1" applyNumberFormat="1" applyFont="1" applyFill="1" applyBorder="1" applyAlignment="1">
      <alignment horizontal="center" vertical="center"/>
    </xf>
    <xf numFmtId="2" fontId="3" fillId="3" borderId="14" xfId="1" applyNumberFormat="1" applyFont="1" applyFill="1" applyBorder="1" applyAlignment="1">
      <alignment horizontal="center" vertical="center"/>
    </xf>
    <xf numFmtId="165" fontId="3" fillId="3" borderId="9" xfId="1" applyNumberFormat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1" fontId="3" fillId="0" borderId="18" xfId="1" applyNumberFormat="1" applyFont="1" applyBorder="1" applyAlignment="1">
      <alignment horizontal="center" vertical="center"/>
    </xf>
    <xf numFmtId="1" fontId="3" fillId="0" borderId="23" xfId="1" applyNumberFormat="1" applyFont="1" applyBorder="1" applyAlignment="1">
      <alignment horizontal="center" vertical="center"/>
    </xf>
    <xf numFmtId="1" fontId="3" fillId="3" borderId="7" xfId="1" applyNumberFormat="1" applyFont="1" applyFill="1" applyBorder="1" applyAlignment="1">
      <alignment horizontal="center" vertical="center"/>
    </xf>
    <xf numFmtId="1" fontId="3" fillId="3" borderId="4" xfId="1" applyNumberFormat="1" applyFont="1" applyFill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1" fontId="3" fillId="3" borderId="9" xfId="1" applyNumberFormat="1" applyFont="1" applyFill="1" applyBorder="1" applyAlignment="1">
      <alignment horizontal="center" vertical="center"/>
    </xf>
    <xf numFmtId="1" fontId="3" fillId="3" borderId="10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165" fontId="5" fillId="2" borderId="16" xfId="0" applyNumberFormat="1" applyFont="1" applyFill="1" applyBorder="1" applyAlignment="1">
      <alignment horizontal="center" vertical="center"/>
    </xf>
    <xf numFmtId="165" fontId="5" fillId="2" borderId="1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3" fillId="3" borderId="4" xfId="1" applyFont="1" applyFill="1" applyBorder="1" applyAlignment="1">
      <alignment horizontal="left" vertical="center" indent="1"/>
    </xf>
    <xf numFmtId="0" fontId="3" fillId="0" borderId="4" xfId="1" applyFont="1" applyBorder="1" applyAlignment="1">
      <alignment horizontal="left" vertical="center" indent="1"/>
    </xf>
    <xf numFmtId="0" fontId="3" fillId="3" borderId="10" xfId="1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 indent="1"/>
    </xf>
    <xf numFmtId="0" fontId="3" fillId="0" borderId="3" xfId="1" applyFont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0"/>
  <sheetViews>
    <sheetView tabSelected="1" topLeftCell="D1" zoomScaleNormal="100" workbookViewId="0">
      <selection activeCell="Z8" sqref="Z8"/>
    </sheetView>
  </sheetViews>
  <sheetFormatPr defaultRowHeight="15" x14ac:dyDescent="0.25"/>
  <cols>
    <col min="1" max="1" width="4.140625" style="4" bestFit="1" customWidth="1"/>
    <col min="2" max="2" width="9" style="3" bestFit="1" customWidth="1"/>
    <col min="3" max="3" width="1.140625" style="3" customWidth="1"/>
    <col min="4" max="4" width="22.140625" style="3" bestFit="1" customWidth="1"/>
    <col min="5" max="6" width="5.7109375" style="4" customWidth="1"/>
    <col min="7" max="21" width="5.5703125" style="4" customWidth="1"/>
    <col min="22" max="24" width="8.140625" style="4" customWidth="1"/>
    <col min="25" max="25" width="5" style="4" bestFit="1" customWidth="1"/>
    <col min="26" max="26" width="6.85546875" style="4" bestFit="1" customWidth="1"/>
    <col min="27" max="27" width="4.28515625" style="4" bestFit="1" customWidth="1"/>
    <col min="28" max="28" width="6.42578125" style="4" bestFit="1" customWidth="1"/>
    <col min="29" max="29" width="6.28515625" style="4" customWidth="1"/>
    <col min="30" max="16384" width="9.140625" style="1"/>
  </cols>
  <sheetData>
    <row r="1" spans="1:29" ht="23.25" customHeight="1" x14ac:dyDescent="0.25">
      <c r="A1" s="76" t="s">
        <v>34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</row>
    <row r="2" spans="1:29" ht="12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" customHeight="1" x14ac:dyDescent="0.25">
      <c r="A3" s="19" t="s">
        <v>14</v>
      </c>
      <c r="B3" s="19"/>
      <c r="C3" s="19" t="s">
        <v>16</v>
      </c>
      <c r="D3" s="3" t="s">
        <v>19</v>
      </c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R3" s="22"/>
      <c r="T3" s="30"/>
      <c r="U3" s="2"/>
      <c r="AB3" s="20" t="s">
        <v>17</v>
      </c>
      <c r="AC3" s="31">
        <v>2</v>
      </c>
    </row>
    <row r="4" spans="1:29" ht="15" customHeight="1" x14ac:dyDescent="0.25">
      <c r="A4" s="77" t="s">
        <v>15</v>
      </c>
      <c r="B4" s="77"/>
      <c r="C4" s="19" t="s">
        <v>16</v>
      </c>
      <c r="D4" s="78">
        <v>42330</v>
      </c>
      <c r="E4" s="78"/>
      <c r="F4" s="78"/>
      <c r="G4" s="78"/>
      <c r="H4" s="2"/>
      <c r="I4" s="2"/>
      <c r="J4" s="2"/>
      <c r="K4" s="2"/>
      <c r="L4" s="2"/>
      <c r="M4" s="2"/>
      <c r="N4" s="2"/>
      <c r="O4" s="2"/>
      <c r="P4" s="2"/>
      <c r="R4" s="22"/>
      <c r="T4" s="30"/>
      <c r="U4" s="2"/>
      <c r="AB4" s="20" t="s">
        <v>18</v>
      </c>
      <c r="AC4" s="31" t="s">
        <v>10</v>
      </c>
    </row>
    <row r="5" spans="1:29" ht="11.25" customHeight="1" x14ac:dyDescent="0.25">
      <c r="A5" s="19"/>
      <c r="B5" s="19"/>
      <c r="C5" s="19"/>
      <c r="V5" s="20"/>
      <c r="W5" s="20"/>
      <c r="X5" s="20"/>
      <c r="Y5" s="20"/>
      <c r="Z5" s="20"/>
      <c r="AA5" s="20"/>
    </row>
    <row r="6" spans="1:29" ht="18.75" customHeight="1" x14ac:dyDescent="0.25">
      <c r="A6" s="73" t="s">
        <v>0</v>
      </c>
      <c r="B6" s="73" t="s">
        <v>1</v>
      </c>
      <c r="C6" s="73" t="s">
        <v>2</v>
      </c>
      <c r="D6" s="73"/>
      <c r="E6" s="73" t="s">
        <v>3</v>
      </c>
      <c r="F6" s="74" t="s">
        <v>13</v>
      </c>
      <c r="G6" s="73" t="s">
        <v>23</v>
      </c>
      <c r="H6" s="73"/>
      <c r="I6" s="73"/>
      <c r="J6" s="73" t="s">
        <v>24</v>
      </c>
      <c r="K6" s="73"/>
      <c r="L6" s="73"/>
      <c r="M6" s="73" t="s">
        <v>29</v>
      </c>
      <c r="N6" s="73"/>
      <c r="O6" s="73"/>
      <c r="P6" s="73" t="s">
        <v>28</v>
      </c>
      <c r="Q6" s="73"/>
      <c r="R6" s="73"/>
      <c r="S6" s="73" t="s">
        <v>25</v>
      </c>
      <c r="T6" s="73"/>
      <c r="U6" s="73"/>
      <c r="V6" s="65" t="s">
        <v>32</v>
      </c>
      <c r="W6" s="65"/>
      <c r="X6" s="66" t="s">
        <v>33</v>
      </c>
      <c r="Y6" s="65" t="s">
        <v>35</v>
      </c>
      <c r="Z6" s="65" t="s">
        <v>38</v>
      </c>
      <c r="AA6" s="65" t="s">
        <v>36</v>
      </c>
      <c r="AB6" s="65" t="s">
        <v>37</v>
      </c>
      <c r="AC6" s="65" t="s">
        <v>12</v>
      </c>
    </row>
    <row r="7" spans="1:29" s="5" customFormat="1" ht="18.75" customHeight="1" x14ac:dyDescent="0.25">
      <c r="A7" s="73"/>
      <c r="B7" s="73"/>
      <c r="C7" s="73"/>
      <c r="D7" s="73"/>
      <c r="E7" s="73"/>
      <c r="F7" s="74"/>
      <c r="G7" s="32" t="s">
        <v>20</v>
      </c>
      <c r="H7" s="32" t="s">
        <v>21</v>
      </c>
      <c r="I7" s="32" t="s">
        <v>22</v>
      </c>
      <c r="J7" s="32" t="s">
        <v>20</v>
      </c>
      <c r="K7" s="32" t="s">
        <v>21</v>
      </c>
      <c r="L7" s="32" t="s">
        <v>22</v>
      </c>
      <c r="M7" s="32" t="s">
        <v>20</v>
      </c>
      <c r="N7" s="32" t="s">
        <v>21</v>
      </c>
      <c r="O7" s="32" t="s">
        <v>22</v>
      </c>
      <c r="P7" s="32" t="s">
        <v>20</v>
      </c>
      <c r="Q7" s="32" t="s">
        <v>21</v>
      </c>
      <c r="R7" s="32" t="s">
        <v>22</v>
      </c>
      <c r="S7" s="32" t="s">
        <v>20</v>
      </c>
      <c r="T7" s="32" t="s">
        <v>21</v>
      </c>
      <c r="U7" s="32" t="s">
        <v>22</v>
      </c>
      <c r="V7" s="33" t="s">
        <v>4</v>
      </c>
      <c r="W7" s="34" t="s">
        <v>5</v>
      </c>
      <c r="X7" s="75"/>
      <c r="Y7" s="66"/>
      <c r="Z7" s="66"/>
      <c r="AA7" s="66"/>
      <c r="AB7" s="66"/>
      <c r="AC7" s="66"/>
    </row>
    <row r="8" spans="1:29" x14ac:dyDescent="0.25">
      <c r="A8" s="8">
        <v>1</v>
      </c>
      <c r="B8" s="21">
        <v>61</v>
      </c>
      <c r="C8" s="79" t="s">
        <v>6</v>
      </c>
      <c r="D8" s="79"/>
      <c r="E8" s="6" t="s">
        <v>30</v>
      </c>
      <c r="F8" s="11" t="s">
        <v>10</v>
      </c>
      <c r="G8" s="13">
        <v>15</v>
      </c>
      <c r="H8" s="6">
        <v>5</v>
      </c>
      <c r="I8" s="15">
        <v>15</v>
      </c>
      <c r="J8" s="13">
        <v>14</v>
      </c>
      <c r="K8" s="6">
        <v>0</v>
      </c>
      <c r="L8" s="15">
        <v>14</v>
      </c>
      <c r="M8" s="13">
        <v>14</v>
      </c>
      <c r="N8" s="6">
        <v>0</v>
      </c>
      <c r="O8" s="15">
        <v>14</v>
      </c>
      <c r="P8" s="13">
        <v>14</v>
      </c>
      <c r="Q8" s="6">
        <v>0</v>
      </c>
      <c r="R8" s="15">
        <v>14</v>
      </c>
      <c r="S8" s="13">
        <v>14</v>
      </c>
      <c r="T8" s="6">
        <v>0</v>
      </c>
      <c r="U8" s="15">
        <v>14</v>
      </c>
      <c r="V8" s="23">
        <v>57</v>
      </c>
      <c r="W8" s="24">
        <v>300</v>
      </c>
      <c r="X8" s="26">
        <v>0.71250000000000002</v>
      </c>
      <c r="Y8" s="57">
        <v>10</v>
      </c>
      <c r="Z8" s="58">
        <v>10</v>
      </c>
      <c r="AA8" s="58">
        <v>10</v>
      </c>
      <c r="AB8" s="27">
        <v>1</v>
      </c>
      <c r="AC8" s="28">
        <v>1</v>
      </c>
    </row>
    <row r="9" spans="1:29" x14ac:dyDescent="0.25">
      <c r="A9" s="37">
        <v>2</v>
      </c>
      <c r="B9" s="38">
        <v>10700</v>
      </c>
      <c r="C9" s="70" t="s">
        <v>7</v>
      </c>
      <c r="D9" s="70"/>
      <c r="E9" s="39" t="s">
        <v>30</v>
      </c>
      <c r="F9" s="40" t="s">
        <v>10</v>
      </c>
      <c r="G9" s="41">
        <v>20</v>
      </c>
      <c r="H9" s="39">
        <v>0</v>
      </c>
      <c r="I9" s="42">
        <v>20</v>
      </c>
      <c r="J9" s="41">
        <v>14</v>
      </c>
      <c r="K9" s="39">
        <v>0</v>
      </c>
      <c r="L9" s="42">
        <v>14</v>
      </c>
      <c r="M9" s="41">
        <v>14</v>
      </c>
      <c r="N9" s="39">
        <v>0</v>
      </c>
      <c r="O9" s="42">
        <v>14</v>
      </c>
      <c r="P9" s="41">
        <v>14</v>
      </c>
      <c r="Q9" s="39">
        <v>0</v>
      </c>
      <c r="R9" s="42">
        <v>14</v>
      </c>
      <c r="S9" s="41">
        <v>14</v>
      </c>
      <c r="T9" s="39">
        <v>0</v>
      </c>
      <c r="U9" s="42">
        <v>14</v>
      </c>
      <c r="V9" s="43">
        <v>62</v>
      </c>
      <c r="W9" s="44">
        <v>300</v>
      </c>
      <c r="X9" s="45">
        <v>0.77500000000000002</v>
      </c>
      <c r="Y9" s="59">
        <v>10</v>
      </c>
      <c r="Z9" s="60">
        <v>10</v>
      </c>
      <c r="AA9" s="60">
        <v>10</v>
      </c>
      <c r="AB9" s="39">
        <v>2</v>
      </c>
      <c r="AC9" s="46">
        <v>3</v>
      </c>
    </row>
    <row r="10" spans="1:29" x14ac:dyDescent="0.25">
      <c r="A10" s="9">
        <v>3</v>
      </c>
      <c r="B10" s="18">
        <v>116</v>
      </c>
      <c r="C10" s="71" t="s">
        <v>8</v>
      </c>
      <c r="D10" s="71"/>
      <c r="E10" s="7" t="s">
        <v>30</v>
      </c>
      <c r="F10" s="12" t="s">
        <v>10</v>
      </c>
      <c r="G10" s="14">
        <v>13</v>
      </c>
      <c r="H10" s="7">
        <v>6</v>
      </c>
      <c r="I10" s="16">
        <v>13</v>
      </c>
      <c r="J10" s="14">
        <v>13</v>
      </c>
      <c r="K10" s="7">
        <v>1</v>
      </c>
      <c r="L10" s="16">
        <v>13</v>
      </c>
      <c r="M10" s="14">
        <v>13</v>
      </c>
      <c r="N10" s="7">
        <v>1</v>
      </c>
      <c r="O10" s="16">
        <v>13</v>
      </c>
      <c r="P10" s="14">
        <v>13</v>
      </c>
      <c r="Q10" s="7">
        <v>1</v>
      </c>
      <c r="R10" s="16">
        <v>13</v>
      </c>
      <c r="S10" s="14">
        <v>13</v>
      </c>
      <c r="T10" s="7">
        <v>1</v>
      </c>
      <c r="U10" s="16">
        <v>13</v>
      </c>
      <c r="V10" s="17">
        <v>52</v>
      </c>
      <c r="W10" s="25">
        <v>300</v>
      </c>
      <c r="X10" s="29">
        <v>0.65</v>
      </c>
      <c r="Y10" s="61">
        <v>10</v>
      </c>
      <c r="Z10" s="62">
        <v>10</v>
      </c>
      <c r="AA10" s="62">
        <v>10</v>
      </c>
      <c r="AB10" s="7">
        <v>3</v>
      </c>
      <c r="AC10" s="10">
        <v>7</v>
      </c>
    </row>
    <row r="11" spans="1:29" x14ac:dyDescent="0.25">
      <c r="A11" s="37">
        <v>4</v>
      </c>
      <c r="B11" s="38">
        <v>78</v>
      </c>
      <c r="C11" s="70" t="s">
        <v>9</v>
      </c>
      <c r="D11" s="70"/>
      <c r="E11" s="39" t="s">
        <v>11</v>
      </c>
      <c r="F11" s="40" t="s">
        <v>31</v>
      </c>
      <c r="G11" s="41">
        <v>12</v>
      </c>
      <c r="H11" s="39">
        <v>2</v>
      </c>
      <c r="I11" s="42">
        <v>12</v>
      </c>
      <c r="J11" s="41">
        <v>12</v>
      </c>
      <c r="K11" s="39">
        <v>2</v>
      </c>
      <c r="L11" s="42">
        <v>12</v>
      </c>
      <c r="M11" s="41">
        <v>12</v>
      </c>
      <c r="N11" s="39">
        <v>2</v>
      </c>
      <c r="O11" s="42">
        <v>12</v>
      </c>
      <c r="P11" s="41">
        <v>12</v>
      </c>
      <c r="Q11" s="39">
        <v>2</v>
      </c>
      <c r="R11" s="42">
        <v>12</v>
      </c>
      <c r="S11" s="41">
        <v>12</v>
      </c>
      <c r="T11" s="39">
        <v>2</v>
      </c>
      <c r="U11" s="42">
        <v>12</v>
      </c>
      <c r="V11" s="43">
        <v>48</v>
      </c>
      <c r="W11" s="44">
        <v>300</v>
      </c>
      <c r="X11" s="45">
        <v>0.6</v>
      </c>
      <c r="Y11" s="59">
        <v>10</v>
      </c>
      <c r="Z11" s="60">
        <v>10</v>
      </c>
      <c r="AA11" s="60">
        <v>10</v>
      </c>
      <c r="AB11" s="39">
        <v>4</v>
      </c>
      <c r="AC11" s="46">
        <v>8</v>
      </c>
    </row>
    <row r="12" spans="1:29" x14ac:dyDescent="0.25">
      <c r="A12" s="9">
        <v>5</v>
      </c>
      <c r="B12" s="18">
        <v>10700</v>
      </c>
      <c r="C12" s="71" t="s">
        <v>7</v>
      </c>
      <c r="D12" s="71"/>
      <c r="E12" s="7" t="s">
        <v>11</v>
      </c>
      <c r="F12" s="12" t="s">
        <v>10</v>
      </c>
      <c r="G12" s="14">
        <v>20</v>
      </c>
      <c r="H12" s="7">
        <v>0</v>
      </c>
      <c r="I12" s="16">
        <v>20</v>
      </c>
      <c r="J12" s="14">
        <v>14</v>
      </c>
      <c r="K12" s="7">
        <v>0</v>
      </c>
      <c r="L12" s="16">
        <v>14</v>
      </c>
      <c r="M12" s="14">
        <v>14</v>
      </c>
      <c r="N12" s="7">
        <v>0</v>
      </c>
      <c r="O12" s="16">
        <v>14</v>
      </c>
      <c r="P12" s="14">
        <v>14</v>
      </c>
      <c r="Q12" s="7">
        <v>0</v>
      </c>
      <c r="R12" s="16">
        <v>14</v>
      </c>
      <c r="S12" s="14">
        <v>14</v>
      </c>
      <c r="T12" s="7">
        <v>0</v>
      </c>
      <c r="U12" s="16">
        <v>14</v>
      </c>
      <c r="V12" s="17">
        <v>62</v>
      </c>
      <c r="W12" s="25">
        <v>300</v>
      </c>
      <c r="X12" s="29">
        <v>0.77500000000000002</v>
      </c>
      <c r="Y12" s="61">
        <v>10</v>
      </c>
      <c r="Z12" s="62">
        <v>10</v>
      </c>
      <c r="AA12" s="62">
        <v>10</v>
      </c>
      <c r="AB12" s="7">
        <v>2</v>
      </c>
      <c r="AC12" s="10">
        <v>3</v>
      </c>
    </row>
    <row r="13" spans="1:29" x14ac:dyDescent="0.25">
      <c r="A13" s="37">
        <v>6</v>
      </c>
      <c r="B13" s="38">
        <v>116</v>
      </c>
      <c r="C13" s="70" t="s">
        <v>8</v>
      </c>
      <c r="D13" s="70"/>
      <c r="E13" s="39" t="s">
        <v>11</v>
      </c>
      <c r="F13" s="40" t="s">
        <v>31</v>
      </c>
      <c r="G13" s="41">
        <v>13</v>
      </c>
      <c r="H13" s="39">
        <v>6</v>
      </c>
      <c r="I13" s="42">
        <v>13</v>
      </c>
      <c r="J13" s="41">
        <v>13</v>
      </c>
      <c r="K13" s="39">
        <v>1</v>
      </c>
      <c r="L13" s="42">
        <v>13</v>
      </c>
      <c r="M13" s="41">
        <v>13</v>
      </c>
      <c r="N13" s="39">
        <v>1</v>
      </c>
      <c r="O13" s="42">
        <v>13</v>
      </c>
      <c r="P13" s="41">
        <v>13</v>
      </c>
      <c r="Q13" s="39">
        <v>1</v>
      </c>
      <c r="R13" s="42">
        <v>13</v>
      </c>
      <c r="S13" s="41">
        <v>13</v>
      </c>
      <c r="T13" s="39">
        <v>1</v>
      </c>
      <c r="U13" s="42">
        <v>13</v>
      </c>
      <c r="V13" s="43">
        <v>52</v>
      </c>
      <c r="W13" s="44">
        <v>300</v>
      </c>
      <c r="X13" s="45">
        <v>0.65</v>
      </c>
      <c r="Y13" s="59">
        <v>10</v>
      </c>
      <c r="Z13" s="60">
        <v>10</v>
      </c>
      <c r="AA13" s="60">
        <v>10</v>
      </c>
      <c r="AB13" s="39">
        <v>3</v>
      </c>
      <c r="AC13" s="46">
        <v>7</v>
      </c>
    </row>
    <row r="14" spans="1:29" x14ac:dyDescent="0.25">
      <c r="A14" s="9">
        <v>7</v>
      </c>
      <c r="B14" s="18">
        <v>78</v>
      </c>
      <c r="C14" s="71" t="s">
        <v>9</v>
      </c>
      <c r="D14" s="71"/>
      <c r="E14" s="7" t="s">
        <v>11</v>
      </c>
      <c r="F14" s="12" t="s">
        <v>31</v>
      </c>
      <c r="G14" s="14">
        <v>12</v>
      </c>
      <c r="H14" s="7">
        <v>2</v>
      </c>
      <c r="I14" s="16">
        <v>12</v>
      </c>
      <c r="J14" s="14">
        <v>12</v>
      </c>
      <c r="K14" s="7">
        <v>2</v>
      </c>
      <c r="L14" s="16">
        <v>12</v>
      </c>
      <c r="M14" s="14">
        <v>12</v>
      </c>
      <c r="N14" s="7">
        <v>2</v>
      </c>
      <c r="O14" s="16">
        <v>12</v>
      </c>
      <c r="P14" s="14">
        <v>12</v>
      </c>
      <c r="Q14" s="7">
        <v>2</v>
      </c>
      <c r="R14" s="16">
        <v>12</v>
      </c>
      <c r="S14" s="14">
        <v>12</v>
      </c>
      <c r="T14" s="7">
        <v>2</v>
      </c>
      <c r="U14" s="16">
        <v>12</v>
      </c>
      <c r="V14" s="17">
        <v>48</v>
      </c>
      <c r="W14" s="25">
        <v>300</v>
      </c>
      <c r="X14" s="29">
        <v>0.6</v>
      </c>
      <c r="Y14" s="61">
        <v>10</v>
      </c>
      <c r="Z14" s="62">
        <v>10</v>
      </c>
      <c r="AA14" s="62">
        <v>10</v>
      </c>
      <c r="AB14" s="7">
        <v>4</v>
      </c>
      <c r="AC14" s="10">
        <v>8</v>
      </c>
    </row>
    <row r="15" spans="1:29" x14ac:dyDescent="0.25">
      <c r="A15" s="37">
        <v>8</v>
      </c>
      <c r="B15" s="38">
        <v>10700</v>
      </c>
      <c r="C15" s="70" t="s">
        <v>7</v>
      </c>
      <c r="D15" s="70"/>
      <c r="E15" s="39" t="s">
        <v>11</v>
      </c>
      <c r="F15" s="40" t="s">
        <v>10</v>
      </c>
      <c r="G15" s="41">
        <v>20</v>
      </c>
      <c r="H15" s="39">
        <v>0</v>
      </c>
      <c r="I15" s="42">
        <v>20</v>
      </c>
      <c r="J15" s="41">
        <v>14</v>
      </c>
      <c r="K15" s="39">
        <v>0</v>
      </c>
      <c r="L15" s="42">
        <v>14</v>
      </c>
      <c r="M15" s="41">
        <v>14</v>
      </c>
      <c r="N15" s="39">
        <v>0</v>
      </c>
      <c r="O15" s="42">
        <v>14</v>
      </c>
      <c r="P15" s="41">
        <v>14</v>
      </c>
      <c r="Q15" s="39">
        <v>0</v>
      </c>
      <c r="R15" s="42">
        <v>14</v>
      </c>
      <c r="S15" s="41">
        <v>14</v>
      </c>
      <c r="T15" s="39">
        <v>0</v>
      </c>
      <c r="U15" s="42">
        <v>14</v>
      </c>
      <c r="V15" s="43">
        <v>62</v>
      </c>
      <c r="W15" s="44">
        <v>300</v>
      </c>
      <c r="X15" s="45">
        <v>0.77500000000000002</v>
      </c>
      <c r="Y15" s="59">
        <v>10</v>
      </c>
      <c r="Z15" s="60">
        <v>10</v>
      </c>
      <c r="AA15" s="60">
        <v>10</v>
      </c>
      <c r="AB15" s="39">
        <v>2</v>
      </c>
      <c r="AC15" s="46">
        <v>3</v>
      </c>
    </row>
    <row r="16" spans="1:29" x14ac:dyDescent="0.25">
      <c r="A16" s="9">
        <v>9</v>
      </c>
      <c r="B16" s="18">
        <v>116</v>
      </c>
      <c r="C16" s="71" t="s">
        <v>8</v>
      </c>
      <c r="D16" s="71"/>
      <c r="E16" s="7" t="s">
        <v>11</v>
      </c>
      <c r="F16" s="12" t="s">
        <v>10</v>
      </c>
      <c r="G16" s="14">
        <v>13</v>
      </c>
      <c r="H16" s="7">
        <v>6</v>
      </c>
      <c r="I16" s="16">
        <v>13</v>
      </c>
      <c r="J16" s="14">
        <v>13</v>
      </c>
      <c r="K16" s="7">
        <v>1</v>
      </c>
      <c r="L16" s="16">
        <v>13</v>
      </c>
      <c r="M16" s="14">
        <v>13</v>
      </c>
      <c r="N16" s="7">
        <v>1</v>
      </c>
      <c r="O16" s="16">
        <v>13</v>
      </c>
      <c r="P16" s="14">
        <v>13</v>
      </c>
      <c r="Q16" s="7">
        <v>1</v>
      </c>
      <c r="R16" s="16">
        <v>13</v>
      </c>
      <c r="S16" s="14">
        <v>13</v>
      </c>
      <c r="T16" s="7">
        <v>1</v>
      </c>
      <c r="U16" s="16">
        <v>13</v>
      </c>
      <c r="V16" s="17">
        <v>52</v>
      </c>
      <c r="W16" s="25">
        <v>300</v>
      </c>
      <c r="X16" s="29">
        <v>0.65</v>
      </c>
      <c r="Y16" s="61">
        <v>10</v>
      </c>
      <c r="Z16" s="62">
        <v>10</v>
      </c>
      <c r="AA16" s="62">
        <v>10</v>
      </c>
      <c r="AB16" s="7">
        <v>3</v>
      </c>
      <c r="AC16" s="10">
        <v>7</v>
      </c>
    </row>
    <row r="17" spans="1:29" x14ac:dyDescent="0.25">
      <c r="A17" s="37">
        <v>10</v>
      </c>
      <c r="B17" s="38">
        <v>78</v>
      </c>
      <c r="C17" s="70" t="s">
        <v>9</v>
      </c>
      <c r="D17" s="70"/>
      <c r="E17" s="39" t="s">
        <v>11</v>
      </c>
      <c r="F17" s="40" t="s">
        <v>10</v>
      </c>
      <c r="G17" s="41">
        <v>12</v>
      </c>
      <c r="H17" s="39">
        <v>2</v>
      </c>
      <c r="I17" s="42">
        <v>12</v>
      </c>
      <c r="J17" s="41">
        <v>12</v>
      </c>
      <c r="K17" s="39">
        <v>2</v>
      </c>
      <c r="L17" s="42">
        <v>12</v>
      </c>
      <c r="M17" s="41">
        <v>12</v>
      </c>
      <c r="N17" s="39">
        <v>2</v>
      </c>
      <c r="O17" s="42">
        <v>12</v>
      </c>
      <c r="P17" s="41">
        <v>12</v>
      </c>
      <c r="Q17" s="39">
        <v>2</v>
      </c>
      <c r="R17" s="42">
        <v>12</v>
      </c>
      <c r="S17" s="41">
        <v>12</v>
      </c>
      <c r="T17" s="39">
        <v>2</v>
      </c>
      <c r="U17" s="42">
        <v>12</v>
      </c>
      <c r="V17" s="43">
        <v>48</v>
      </c>
      <c r="W17" s="44">
        <v>300</v>
      </c>
      <c r="X17" s="45">
        <v>0.6</v>
      </c>
      <c r="Y17" s="59">
        <v>10</v>
      </c>
      <c r="Z17" s="60">
        <v>10</v>
      </c>
      <c r="AA17" s="60">
        <v>10</v>
      </c>
      <c r="AB17" s="39">
        <v>4</v>
      </c>
      <c r="AC17" s="46">
        <v>8</v>
      </c>
    </row>
    <row r="18" spans="1:29" x14ac:dyDescent="0.25">
      <c r="A18" s="9">
        <v>11</v>
      </c>
      <c r="B18" s="18">
        <v>10700</v>
      </c>
      <c r="C18" s="71" t="s">
        <v>7</v>
      </c>
      <c r="D18" s="71"/>
      <c r="E18" s="7" t="s">
        <v>11</v>
      </c>
      <c r="F18" s="12" t="s">
        <v>31</v>
      </c>
      <c r="G18" s="14">
        <v>20</v>
      </c>
      <c r="H18" s="7">
        <v>0</v>
      </c>
      <c r="I18" s="16">
        <v>20</v>
      </c>
      <c r="J18" s="14">
        <v>14</v>
      </c>
      <c r="K18" s="7">
        <v>0</v>
      </c>
      <c r="L18" s="16">
        <v>14</v>
      </c>
      <c r="M18" s="14">
        <v>14</v>
      </c>
      <c r="N18" s="7">
        <v>0</v>
      </c>
      <c r="O18" s="16">
        <v>14</v>
      </c>
      <c r="P18" s="14">
        <v>14</v>
      </c>
      <c r="Q18" s="7">
        <v>0</v>
      </c>
      <c r="R18" s="16">
        <v>14</v>
      </c>
      <c r="S18" s="14">
        <v>14</v>
      </c>
      <c r="T18" s="7">
        <v>0</v>
      </c>
      <c r="U18" s="16">
        <v>14</v>
      </c>
      <c r="V18" s="17">
        <v>62</v>
      </c>
      <c r="W18" s="25">
        <v>300</v>
      </c>
      <c r="X18" s="29">
        <v>0.77500000000000002</v>
      </c>
      <c r="Y18" s="61">
        <v>10</v>
      </c>
      <c r="Z18" s="62">
        <v>10</v>
      </c>
      <c r="AA18" s="62">
        <v>10</v>
      </c>
      <c r="AB18" s="7">
        <v>2</v>
      </c>
      <c r="AC18" s="10">
        <v>3</v>
      </c>
    </row>
    <row r="19" spans="1:29" x14ac:dyDescent="0.25">
      <c r="A19" s="37">
        <v>12</v>
      </c>
      <c r="B19" s="38">
        <v>116</v>
      </c>
      <c r="C19" s="70" t="s">
        <v>8</v>
      </c>
      <c r="D19" s="70"/>
      <c r="E19" s="39" t="s">
        <v>11</v>
      </c>
      <c r="F19" s="40" t="s">
        <v>10</v>
      </c>
      <c r="G19" s="41">
        <v>18</v>
      </c>
      <c r="H19" s="39">
        <v>2</v>
      </c>
      <c r="I19" s="42">
        <v>13</v>
      </c>
      <c r="J19" s="41">
        <v>18</v>
      </c>
      <c r="K19" s="39">
        <v>2</v>
      </c>
      <c r="L19" s="42">
        <v>13</v>
      </c>
      <c r="M19" s="41">
        <v>18</v>
      </c>
      <c r="N19" s="39">
        <v>2</v>
      </c>
      <c r="O19" s="42">
        <v>13</v>
      </c>
      <c r="P19" s="41">
        <v>18</v>
      </c>
      <c r="Q19" s="39">
        <v>2</v>
      </c>
      <c r="R19" s="42">
        <v>13</v>
      </c>
      <c r="S19" s="41">
        <v>15</v>
      </c>
      <c r="T19" s="39">
        <v>5</v>
      </c>
      <c r="U19" s="42">
        <v>13</v>
      </c>
      <c r="V19" s="43">
        <v>72</v>
      </c>
      <c r="W19" s="44">
        <v>300</v>
      </c>
      <c r="X19" s="45">
        <v>0.9</v>
      </c>
      <c r="Y19" s="59">
        <v>10</v>
      </c>
      <c r="Z19" s="60">
        <v>10</v>
      </c>
      <c r="AA19" s="60">
        <v>10</v>
      </c>
      <c r="AB19" s="39">
        <v>3</v>
      </c>
      <c r="AC19" s="46">
        <v>7</v>
      </c>
    </row>
    <row r="20" spans="1:29" x14ac:dyDescent="0.25">
      <c r="A20" s="9">
        <v>13</v>
      </c>
      <c r="B20" s="18">
        <v>78</v>
      </c>
      <c r="C20" s="71" t="s">
        <v>9</v>
      </c>
      <c r="D20" s="71"/>
      <c r="E20" s="7" t="s">
        <v>11</v>
      </c>
      <c r="F20" s="12" t="s">
        <v>31</v>
      </c>
      <c r="G20" s="14">
        <v>12</v>
      </c>
      <c r="H20" s="7">
        <v>2</v>
      </c>
      <c r="I20" s="16">
        <v>12</v>
      </c>
      <c r="J20" s="14">
        <v>12</v>
      </c>
      <c r="K20" s="7">
        <v>2</v>
      </c>
      <c r="L20" s="16">
        <v>12</v>
      </c>
      <c r="M20" s="14">
        <v>12</v>
      </c>
      <c r="N20" s="7">
        <v>2</v>
      </c>
      <c r="O20" s="16">
        <v>12</v>
      </c>
      <c r="P20" s="14">
        <v>12</v>
      </c>
      <c r="Q20" s="7">
        <v>2</v>
      </c>
      <c r="R20" s="16">
        <v>12</v>
      </c>
      <c r="S20" s="14">
        <v>12</v>
      </c>
      <c r="T20" s="7">
        <v>2</v>
      </c>
      <c r="U20" s="16">
        <v>12</v>
      </c>
      <c r="V20" s="17">
        <v>48</v>
      </c>
      <c r="W20" s="25">
        <v>300</v>
      </c>
      <c r="X20" s="29">
        <v>0.6</v>
      </c>
      <c r="Y20" s="61">
        <v>10</v>
      </c>
      <c r="Z20" s="62">
        <v>10</v>
      </c>
      <c r="AA20" s="62">
        <v>10</v>
      </c>
      <c r="AB20" s="7">
        <v>4</v>
      </c>
      <c r="AC20" s="10">
        <v>8</v>
      </c>
    </row>
    <row r="21" spans="1:29" x14ac:dyDescent="0.25">
      <c r="A21" s="37">
        <v>14</v>
      </c>
      <c r="B21" s="38">
        <v>10700</v>
      </c>
      <c r="C21" s="70" t="s">
        <v>7</v>
      </c>
      <c r="D21" s="70"/>
      <c r="E21" s="39" t="s">
        <v>11</v>
      </c>
      <c r="F21" s="40" t="s">
        <v>10</v>
      </c>
      <c r="G21" s="41">
        <v>20</v>
      </c>
      <c r="H21" s="39">
        <v>0</v>
      </c>
      <c r="I21" s="42">
        <v>20</v>
      </c>
      <c r="J21" s="41">
        <v>14</v>
      </c>
      <c r="K21" s="39">
        <v>0</v>
      </c>
      <c r="L21" s="42">
        <v>14</v>
      </c>
      <c r="M21" s="41">
        <v>14</v>
      </c>
      <c r="N21" s="39">
        <v>0</v>
      </c>
      <c r="O21" s="42">
        <v>14</v>
      </c>
      <c r="P21" s="41">
        <v>14</v>
      </c>
      <c r="Q21" s="39">
        <v>0</v>
      </c>
      <c r="R21" s="42">
        <v>14</v>
      </c>
      <c r="S21" s="41">
        <v>14</v>
      </c>
      <c r="T21" s="39">
        <v>0</v>
      </c>
      <c r="U21" s="42">
        <v>14</v>
      </c>
      <c r="V21" s="43">
        <v>62</v>
      </c>
      <c r="W21" s="44">
        <v>300</v>
      </c>
      <c r="X21" s="45">
        <v>0.77500000000000002</v>
      </c>
      <c r="Y21" s="59">
        <v>10</v>
      </c>
      <c r="Z21" s="60">
        <v>10</v>
      </c>
      <c r="AA21" s="60">
        <v>10</v>
      </c>
      <c r="AB21" s="39">
        <v>2</v>
      </c>
      <c r="AC21" s="46">
        <v>3</v>
      </c>
    </row>
    <row r="22" spans="1:29" x14ac:dyDescent="0.25">
      <c r="A22" s="9">
        <v>15</v>
      </c>
      <c r="B22" s="18">
        <v>116</v>
      </c>
      <c r="C22" s="71" t="s">
        <v>8</v>
      </c>
      <c r="D22" s="71"/>
      <c r="E22" s="7" t="s">
        <v>11</v>
      </c>
      <c r="F22" s="12" t="s">
        <v>31</v>
      </c>
      <c r="G22" s="14">
        <v>13</v>
      </c>
      <c r="H22" s="7">
        <v>6</v>
      </c>
      <c r="I22" s="16">
        <v>13</v>
      </c>
      <c r="J22" s="14">
        <v>13</v>
      </c>
      <c r="K22" s="7">
        <v>1</v>
      </c>
      <c r="L22" s="16">
        <v>13</v>
      </c>
      <c r="M22" s="14">
        <v>13</v>
      </c>
      <c r="N22" s="7">
        <v>1</v>
      </c>
      <c r="O22" s="16">
        <v>13</v>
      </c>
      <c r="P22" s="14">
        <v>13</v>
      </c>
      <c r="Q22" s="7">
        <v>1</v>
      </c>
      <c r="R22" s="16">
        <v>13</v>
      </c>
      <c r="S22" s="14">
        <v>13</v>
      </c>
      <c r="T22" s="7">
        <v>1</v>
      </c>
      <c r="U22" s="16">
        <v>13</v>
      </c>
      <c r="V22" s="17">
        <v>52</v>
      </c>
      <c r="W22" s="25">
        <v>300</v>
      </c>
      <c r="X22" s="29">
        <v>0.65</v>
      </c>
      <c r="Y22" s="61">
        <v>10</v>
      </c>
      <c r="Z22" s="62">
        <v>10</v>
      </c>
      <c r="AA22" s="62">
        <v>10</v>
      </c>
      <c r="AB22" s="7">
        <v>3</v>
      </c>
      <c r="AC22" s="10">
        <v>7</v>
      </c>
    </row>
    <row r="23" spans="1:29" x14ac:dyDescent="0.25">
      <c r="A23" s="37">
        <v>16</v>
      </c>
      <c r="B23" s="38">
        <v>78</v>
      </c>
      <c r="C23" s="70" t="s">
        <v>9</v>
      </c>
      <c r="D23" s="70"/>
      <c r="E23" s="39" t="s">
        <v>11</v>
      </c>
      <c r="F23" s="40" t="s">
        <v>31</v>
      </c>
      <c r="G23" s="41">
        <v>12</v>
      </c>
      <c r="H23" s="39">
        <v>2</v>
      </c>
      <c r="I23" s="42">
        <v>12</v>
      </c>
      <c r="J23" s="41">
        <v>12</v>
      </c>
      <c r="K23" s="39">
        <v>2</v>
      </c>
      <c r="L23" s="42">
        <v>12</v>
      </c>
      <c r="M23" s="41">
        <v>12</v>
      </c>
      <c r="N23" s="39">
        <v>2</v>
      </c>
      <c r="O23" s="42">
        <v>12</v>
      </c>
      <c r="P23" s="41">
        <v>12</v>
      </c>
      <c r="Q23" s="39">
        <v>2</v>
      </c>
      <c r="R23" s="42">
        <v>12</v>
      </c>
      <c r="S23" s="41">
        <v>12</v>
      </c>
      <c r="T23" s="39">
        <v>2</v>
      </c>
      <c r="U23" s="42">
        <v>12</v>
      </c>
      <c r="V23" s="43">
        <v>48</v>
      </c>
      <c r="W23" s="44">
        <v>300</v>
      </c>
      <c r="X23" s="45">
        <v>0.6</v>
      </c>
      <c r="Y23" s="59">
        <v>10</v>
      </c>
      <c r="Z23" s="60">
        <v>10</v>
      </c>
      <c r="AA23" s="60">
        <v>10</v>
      </c>
      <c r="AB23" s="39">
        <v>4</v>
      </c>
      <c r="AC23" s="46">
        <v>8</v>
      </c>
    </row>
    <row r="24" spans="1:29" x14ac:dyDescent="0.25">
      <c r="A24" s="9">
        <v>17</v>
      </c>
      <c r="B24" s="18">
        <v>10700</v>
      </c>
      <c r="C24" s="71" t="s">
        <v>7</v>
      </c>
      <c r="D24" s="71"/>
      <c r="E24" s="7" t="s">
        <v>11</v>
      </c>
      <c r="F24" s="12" t="s">
        <v>31</v>
      </c>
      <c r="G24" s="14">
        <v>20</v>
      </c>
      <c r="H24" s="7">
        <v>0</v>
      </c>
      <c r="I24" s="16">
        <v>20</v>
      </c>
      <c r="J24" s="14">
        <v>14</v>
      </c>
      <c r="K24" s="7">
        <v>0</v>
      </c>
      <c r="L24" s="16">
        <v>14</v>
      </c>
      <c r="M24" s="14">
        <v>14</v>
      </c>
      <c r="N24" s="7">
        <v>0</v>
      </c>
      <c r="O24" s="16">
        <v>14</v>
      </c>
      <c r="P24" s="14">
        <v>14</v>
      </c>
      <c r="Q24" s="7">
        <v>0</v>
      </c>
      <c r="R24" s="16">
        <v>14</v>
      </c>
      <c r="S24" s="14">
        <v>14</v>
      </c>
      <c r="T24" s="7">
        <v>0</v>
      </c>
      <c r="U24" s="16">
        <v>14</v>
      </c>
      <c r="V24" s="17">
        <v>62</v>
      </c>
      <c r="W24" s="25">
        <v>300</v>
      </c>
      <c r="X24" s="29">
        <v>0.77500000000000002</v>
      </c>
      <c r="Y24" s="61">
        <v>10</v>
      </c>
      <c r="Z24" s="62">
        <v>10</v>
      </c>
      <c r="AA24" s="62">
        <v>10</v>
      </c>
      <c r="AB24" s="7">
        <v>2</v>
      </c>
      <c r="AC24" s="10">
        <v>3</v>
      </c>
    </row>
    <row r="25" spans="1:29" x14ac:dyDescent="0.25">
      <c r="A25" s="37">
        <v>18</v>
      </c>
      <c r="B25" s="38">
        <v>116</v>
      </c>
      <c r="C25" s="70" t="s">
        <v>8</v>
      </c>
      <c r="D25" s="70"/>
      <c r="E25" s="39" t="s">
        <v>11</v>
      </c>
      <c r="F25" s="40" t="s">
        <v>10</v>
      </c>
      <c r="G25" s="41">
        <v>13</v>
      </c>
      <c r="H25" s="39">
        <v>6</v>
      </c>
      <c r="I25" s="42">
        <v>13</v>
      </c>
      <c r="J25" s="41">
        <v>13</v>
      </c>
      <c r="K25" s="39">
        <v>1</v>
      </c>
      <c r="L25" s="42">
        <v>13</v>
      </c>
      <c r="M25" s="41">
        <v>13</v>
      </c>
      <c r="N25" s="39">
        <v>1</v>
      </c>
      <c r="O25" s="42">
        <v>13</v>
      </c>
      <c r="P25" s="41">
        <v>13</v>
      </c>
      <c r="Q25" s="39">
        <v>1</v>
      </c>
      <c r="R25" s="42">
        <v>13</v>
      </c>
      <c r="S25" s="41">
        <v>13</v>
      </c>
      <c r="T25" s="39">
        <v>1</v>
      </c>
      <c r="U25" s="42">
        <v>13</v>
      </c>
      <c r="V25" s="43">
        <v>52</v>
      </c>
      <c r="W25" s="44">
        <v>300</v>
      </c>
      <c r="X25" s="45">
        <v>0.65</v>
      </c>
      <c r="Y25" s="59">
        <v>10</v>
      </c>
      <c r="Z25" s="60">
        <v>10</v>
      </c>
      <c r="AA25" s="60">
        <v>10</v>
      </c>
      <c r="AB25" s="39">
        <v>3</v>
      </c>
      <c r="AC25" s="46">
        <v>7</v>
      </c>
    </row>
    <row r="26" spans="1:29" x14ac:dyDescent="0.25">
      <c r="A26" s="9">
        <v>19</v>
      </c>
      <c r="B26" s="18">
        <v>78</v>
      </c>
      <c r="C26" s="71" t="s">
        <v>9</v>
      </c>
      <c r="D26" s="71"/>
      <c r="E26" s="7" t="s">
        <v>11</v>
      </c>
      <c r="F26" s="12" t="s">
        <v>31</v>
      </c>
      <c r="G26" s="14">
        <v>12</v>
      </c>
      <c r="H26" s="7">
        <v>2</v>
      </c>
      <c r="I26" s="16">
        <v>12</v>
      </c>
      <c r="J26" s="14">
        <v>12</v>
      </c>
      <c r="K26" s="7">
        <v>2</v>
      </c>
      <c r="L26" s="16">
        <v>12</v>
      </c>
      <c r="M26" s="14">
        <v>12</v>
      </c>
      <c r="N26" s="7">
        <v>2</v>
      </c>
      <c r="O26" s="16">
        <v>12</v>
      </c>
      <c r="P26" s="14">
        <v>12</v>
      </c>
      <c r="Q26" s="7">
        <v>2</v>
      </c>
      <c r="R26" s="16">
        <v>12</v>
      </c>
      <c r="S26" s="14">
        <v>12</v>
      </c>
      <c r="T26" s="7">
        <v>2</v>
      </c>
      <c r="U26" s="16">
        <v>12</v>
      </c>
      <c r="V26" s="17">
        <v>48</v>
      </c>
      <c r="W26" s="25">
        <v>300</v>
      </c>
      <c r="X26" s="29">
        <v>0.6</v>
      </c>
      <c r="Y26" s="61">
        <v>10</v>
      </c>
      <c r="Z26" s="62">
        <v>10</v>
      </c>
      <c r="AA26" s="62">
        <v>10</v>
      </c>
      <c r="AB26" s="7">
        <v>4</v>
      </c>
      <c r="AC26" s="10">
        <v>8</v>
      </c>
    </row>
    <row r="27" spans="1:29" x14ac:dyDescent="0.25">
      <c r="A27" s="47">
        <v>20</v>
      </c>
      <c r="B27" s="48">
        <v>10700</v>
      </c>
      <c r="C27" s="72" t="s">
        <v>7</v>
      </c>
      <c r="D27" s="72"/>
      <c r="E27" s="49" t="s">
        <v>11</v>
      </c>
      <c r="F27" s="50" t="s">
        <v>10</v>
      </c>
      <c r="G27" s="51">
        <v>20</v>
      </c>
      <c r="H27" s="49">
        <v>0</v>
      </c>
      <c r="I27" s="52">
        <v>20</v>
      </c>
      <c r="J27" s="51">
        <v>14</v>
      </c>
      <c r="K27" s="49">
        <v>0</v>
      </c>
      <c r="L27" s="52">
        <v>14</v>
      </c>
      <c r="M27" s="51">
        <v>14</v>
      </c>
      <c r="N27" s="49">
        <v>0</v>
      </c>
      <c r="O27" s="52">
        <v>14</v>
      </c>
      <c r="P27" s="51">
        <v>14</v>
      </c>
      <c r="Q27" s="49">
        <v>0</v>
      </c>
      <c r="R27" s="52">
        <v>14</v>
      </c>
      <c r="S27" s="51">
        <v>14</v>
      </c>
      <c r="T27" s="49">
        <v>0</v>
      </c>
      <c r="U27" s="52">
        <v>14</v>
      </c>
      <c r="V27" s="53">
        <v>62</v>
      </c>
      <c r="W27" s="54">
        <v>300</v>
      </c>
      <c r="X27" s="55">
        <v>0.77500000000000002</v>
      </c>
      <c r="Y27" s="63">
        <v>10</v>
      </c>
      <c r="Z27" s="64">
        <v>10</v>
      </c>
      <c r="AA27" s="64">
        <v>10</v>
      </c>
      <c r="AB27" s="49">
        <v>2</v>
      </c>
      <c r="AC27" s="56">
        <v>3</v>
      </c>
    </row>
    <row r="28" spans="1:29" ht="9.75" customHeight="1" x14ac:dyDescent="0.25"/>
    <row r="29" spans="1:29" ht="18" customHeight="1" x14ac:dyDescent="0.25">
      <c r="D29" s="69" t="s">
        <v>26</v>
      </c>
      <c r="E29" s="69"/>
      <c r="F29" s="69"/>
      <c r="G29" s="35">
        <f>AVERAGE(G8:G27)</f>
        <v>15.5</v>
      </c>
      <c r="H29" s="35">
        <v>10</v>
      </c>
      <c r="I29" s="35">
        <f t="shared" ref="I29:V29" si="0">AVERAGE(I8:I27)</f>
        <v>15.25</v>
      </c>
      <c r="J29" s="35">
        <f t="shared" si="0"/>
        <v>13.35</v>
      </c>
      <c r="K29" s="35">
        <f t="shared" si="0"/>
        <v>0.95</v>
      </c>
      <c r="L29" s="35">
        <f t="shared" si="0"/>
        <v>13.1</v>
      </c>
      <c r="M29" s="35">
        <f t="shared" si="0"/>
        <v>13.35</v>
      </c>
      <c r="N29" s="35">
        <f t="shared" si="0"/>
        <v>0.95</v>
      </c>
      <c r="O29" s="35">
        <f t="shared" si="0"/>
        <v>13.1</v>
      </c>
      <c r="P29" s="35">
        <f t="shared" si="0"/>
        <v>13.35</v>
      </c>
      <c r="Q29" s="35">
        <f t="shared" si="0"/>
        <v>0.95</v>
      </c>
      <c r="R29" s="35">
        <f t="shared" si="0"/>
        <v>13.1</v>
      </c>
      <c r="S29" s="35">
        <f t="shared" si="0"/>
        <v>13.2</v>
      </c>
      <c r="T29" s="35">
        <f t="shared" si="0"/>
        <v>1.1000000000000001</v>
      </c>
      <c r="U29" s="35">
        <f t="shared" si="0"/>
        <v>13.1</v>
      </c>
      <c r="V29" s="35">
        <f t="shared" si="0"/>
        <v>55.55</v>
      </c>
      <c r="W29" s="35">
        <v>550</v>
      </c>
      <c r="X29" s="67">
        <f>AVERAGE(X8:X27)</f>
        <v>0.69437500000000008</v>
      </c>
      <c r="Y29"/>
      <c r="Z29"/>
      <c r="AA29"/>
    </row>
    <row r="30" spans="1:29" ht="18" customHeight="1" x14ac:dyDescent="0.25">
      <c r="D30" s="69" t="s">
        <v>27</v>
      </c>
      <c r="E30" s="69"/>
      <c r="F30" s="69"/>
      <c r="G30" s="35">
        <f>(100*G29)/20</f>
        <v>77.5</v>
      </c>
      <c r="H30" s="35">
        <f t="shared" ref="H30:U30" si="1">(100*H29)/20</f>
        <v>50</v>
      </c>
      <c r="I30" s="35">
        <f t="shared" si="1"/>
        <v>76.25</v>
      </c>
      <c r="J30" s="35">
        <f t="shared" si="1"/>
        <v>66.75</v>
      </c>
      <c r="K30" s="35">
        <f t="shared" si="1"/>
        <v>4.75</v>
      </c>
      <c r="L30" s="35">
        <f t="shared" si="1"/>
        <v>65.5</v>
      </c>
      <c r="M30" s="35">
        <f t="shared" si="1"/>
        <v>66.75</v>
      </c>
      <c r="N30" s="35">
        <f t="shared" si="1"/>
        <v>4.75</v>
      </c>
      <c r="O30" s="35">
        <f t="shared" si="1"/>
        <v>65.5</v>
      </c>
      <c r="P30" s="35">
        <f t="shared" si="1"/>
        <v>66.75</v>
      </c>
      <c r="Q30" s="35">
        <f t="shared" si="1"/>
        <v>4.75</v>
      </c>
      <c r="R30" s="35">
        <f t="shared" si="1"/>
        <v>65.5</v>
      </c>
      <c r="S30" s="35">
        <f t="shared" si="1"/>
        <v>66</v>
      </c>
      <c r="T30" s="35">
        <f t="shared" si="1"/>
        <v>5.5000000000000009</v>
      </c>
      <c r="U30" s="35">
        <f t="shared" si="1"/>
        <v>65.5</v>
      </c>
      <c r="V30" s="36">
        <f>V29/120</f>
        <v>0.46291666666666664</v>
      </c>
      <c r="W30" s="36">
        <f>W29/700</f>
        <v>0.7857142857142857</v>
      </c>
      <c r="X30" s="68"/>
      <c r="Y30"/>
      <c r="Z30"/>
      <c r="AA30"/>
    </row>
  </sheetData>
  <mergeCells count="43">
    <mergeCell ref="A1:AC1"/>
    <mergeCell ref="A4:B4"/>
    <mergeCell ref="D4:G4"/>
    <mergeCell ref="C20:D20"/>
    <mergeCell ref="C17:D17"/>
    <mergeCell ref="C12:D12"/>
    <mergeCell ref="C8:D8"/>
    <mergeCell ref="C9:D9"/>
    <mergeCell ref="C10:D10"/>
    <mergeCell ref="C11:D11"/>
    <mergeCell ref="C13:D13"/>
    <mergeCell ref="C14:D14"/>
    <mergeCell ref="C15:D15"/>
    <mergeCell ref="C16:D16"/>
    <mergeCell ref="C18:D18"/>
    <mergeCell ref="C19:D19"/>
    <mergeCell ref="A6:A7"/>
    <mergeCell ref="AB6:AB7"/>
    <mergeCell ref="AC6:AC7"/>
    <mergeCell ref="B6:B7"/>
    <mergeCell ref="V6:W6"/>
    <mergeCell ref="S6:U6"/>
    <mergeCell ref="F6:F7"/>
    <mergeCell ref="E6:E7"/>
    <mergeCell ref="C6:D7"/>
    <mergeCell ref="G6:I6"/>
    <mergeCell ref="J6:L6"/>
    <mergeCell ref="M6:O6"/>
    <mergeCell ref="P6:R6"/>
    <mergeCell ref="X6:X7"/>
    <mergeCell ref="Y6:Y7"/>
    <mergeCell ref="Z6:Z7"/>
    <mergeCell ref="AA6:AA7"/>
    <mergeCell ref="X29:X30"/>
    <mergeCell ref="D29:F29"/>
    <mergeCell ref="D30:F30"/>
    <mergeCell ref="C21:D21"/>
    <mergeCell ref="C26:D26"/>
    <mergeCell ref="C27:D27"/>
    <mergeCell ref="C24:D24"/>
    <mergeCell ref="C25:D25"/>
    <mergeCell ref="C23:D23"/>
    <mergeCell ref="C22:D22"/>
  </mergeCells>
  <printOptions horizontalCentered="1"/>
  <pageMargins left="0.39370078740157483" right="0.39370078740157483" top="0.59055118110236227" bottom="0.74803149606299213" header="0.31496062992125984" footer="0.31496062992125984"/>
  <pageSetup paperSize="9" scale="7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2016-02-05T22:42:40Z</dcterms:modified>
</cp:coreProperties>
</file>