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(2)'!$A$1:$AD$37</definedName>
  </definedNames>
  <calcPr calcId="152511"/>
</workbook>
</file>

<file path=xl/calcChain.xml><?xml version="1.0" encoding="utf-8"?>
<calcChain xmlns="http://schemas.openxmlformats.org/spreadsheetml/2006/main">
  <c r="W12" i="2" l="1"/>
  <c r="W13" i="2"/>
  <c r="W14" i="2"/>
  <c r="W15" i="2"/>
  <c r="W16" i="2"/>
  <c r="W17" i="2"/>
  <c r="W11" i="2"/>
  <c r="V12" i="2"/>
  <c r="V13" i="2"/>
  <c r="V14" i="2"/>
  <c r="V15" i="2"/>
  <c r="V16" i="2"/>
  <c r="V17" i="2"/>
  <c r="V11" i="2"/>
  <c r="U12" i="2"/>
  <c r="U13" i="2"/>
  <c r="U14" i="2"/>
  <c r="U15" i="2"/>
  <c r="U16" i="2"/>
  <c r="U17" i="2"/>
  <c r="U11" i="2"/>
  <c r="F19" i="2" l="1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X19" i="2"/>
  <c r="Y12" i="2"/>
  <c r="Y13" i="2"/>
  <c r="Y14" i="2"/>
  <c r="Y15" i="2"/>
  <c r="Y16" i="2"/>
  <c r="Y17" i="2"/>
  <c r="Y11" i="2"/>
  <c r="W19" i="2"/>
  <c r="V19" i="2"/>
  <c r="Y19" i="2" l="1"/>
  <c r="U19" i="2"/>
  <c r="E19" i="2"/>
</calcChain>
</file>

<file path=xl/sharedStrings.xml><?xml version="1.0" encoding="utf-8"?>
<sst xmlns="http://schemas.openxmlformats.org/spreadsheetml/2006/main" count="66" uniqueCount="41">
  <si>
    <t>Sıra</t>
  </si>
  <si>
    <t>Sınav Adı</t>
  </si>
  <si>
    <t>Tarih</t>
  </si>
  <si>
    <t>Başarı
(%)</t>
  </si>
  <si>
    <t>Adı - Soyadı</t>
  </si>
  <si>
    <t>Soru
Sayısı</t>
  </si>
  <si>
    <t>SOSYAL BİLGİLER</t>
  </si>
  <si>
    <t>TÜRKÇE</t>
  </si>
  <si>
    <t>FEN BİLİMLERİ</t>
  </si>
  <si>
    <t>DİN KÜLTÜRÜ</t>
  </si>
  <si>
    <t>1. DENEME SINAVI</t>
  </si>
  <si>
    <t>No</t>
  </si>
  <si>
    <t>: NECATİ YALÇIN</t>
  </si>
  <si>
    <t>: 2586</t>
  </si>
  <si>
    <t>ORTALAMA</t>
  </si>
  <si>
    <t>Genel
Sıra</t>
  </si>
  <si>
    <t>D</t>
  </si>
  <si>
    <t>Y</t>
  </si>
  <si>
    <t>N</t>
  </si>
  <si>
    <t>Türkçe</t>
  </si>
  <si>
    <t>Matematik</t>
  </si>
  <si>
    <t>Fen Bilimleri</t>
  </si>
  <si>
    <t>İngilizce</t>
  </si>
  <si>
    <t>TOPLAM</t>
  </si>
  <si>
    <t>Puan</t>
  </si>
  <si>
    <t>ÖĞRENCİ DENEME SINAVI GEÇMİŞİ</t>
  </si>
  <si>
    <t>2. DENEME SINAVI</t>
  </si>
  <si>
    <t>3. DENEME SINAVI</t>
  </si>
  <si>
    <t>4. DENEME SINAVI</t>
  </si>
  <si>
    <t>5. DENEME SINAVI</t>
  </si>
  <si>
    <t>6. DENEME SINAVI</t>
  </si>
  <si>
    <t>7. DENEME SINAVI</t>
  </si>
  <si>
    <t>Hayat Bilgisi</t>
  </si>
  <si>
    <t>Sınıf</t>
  </si>
  <si>
    <t>: 2</t>
  </si>
  <si>
    <t>Şube</t>
  </si>
  <si>
    <t>: A</t>
  </si>
  <si>
    <t>Sınıf
Sıra</t>
  </si>
  <si>
    <t>İlçe
Sıra</t>
  </si>
  <si>
    <t>İl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</si>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</sst>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249977111117893"/>
      <name val="Calibri"/>
      <family val="2"/>
      <charset val="162"/>
      <scheme val="minor"/>
    </font>
    <font>
      <b/>
      <sz val="11"/>
      <color theme="0" tint="-0.249977111117893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left" vertical="center" indent="1"/>
    </xf>
    <xf numFmtId="1" fontId="2" fillId="0" borderId="20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left" vertical="center" indent="1"/>
    </xf>
    <xf numFmtId="1" fontId="2" fillId="0" borderId="16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left" vertical="center" indent="1"/>
    </xf>
    <xf numFmtId="1" fontId="2" fillId="0" borderId="17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left" vertical="center" indent="1"/>
    </xf>
    <xf numFmtId="1" fontId="2" fillId="3" borderId="16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2" fontId="2" fillId="3" borderId="21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5" xfId="0" quotePrefix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2" fillId="0" borderId="20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3" borderId="16" xfId="0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left" vertical="center" indent="1"/>
    </xf>
    <xf numFmtId="0" fontId="2" fillId="0" borderId="16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Deneme Sınavı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'Sayfa1 (2)'!$B$11:$C$17</c:f>
              <c:strCache>
                <c:ptCount val="7"/>
                <c:pt idx="0">
                  <c:v>1. DENEME SINAVI</c:v>
                </c:pt>
                <c:pt idx="1">
                  <c:v>2. DENEME SINAVI</c:v>
                </c:pt>
                <c:pt idx="2">
                  <c:v>3. DENEME SINAVI</c:v>
                </c:pt>
                <c:pt idx="3">
                  <c:v>4. DENEME SINAVI</c:v>
                </c:pt>
                <c:pt idx="4">
                  <c:v>5. DENEME SINAVI</c:v>
                </c:pt>
                <c:pt idx="5">
                  <c:v>6. DENEME SINAVI</c:v>
                </c:pt>
                <c:pt idx="6">
                  <c:v>7. DENEME SINAVI</c:v>
                </c:pt>
              </c:strCache>
            </c:strRef>
          </c:cat>
          <c:val>
            <c:numRef>
              <c:f>'Sayfa1 (2)'!$X$11:$X$17</c:f>
              <c:numCache>
                <c:formatCode>0.00</c:formatCode>
                <c:ptCount val="7"/>
                <c:pt idx="0">
                  <c:v>485</c:v>
                </c:pt>
                <c:pt idx="1">
                  <c:v>450</c:v>
                </c:pt>
                <c:pt idx="2">
                  <c:v>420</c:v>
                </c:pt>
                <c:pt idx="3">
                  <c:v>385</c:v>
                </c:pt>
                <c:pt idx="4">
                  <c:v>415</c:v>
                </c:pt>
                <c:pt idx="5">
                  <c:v>495</c:v>
                </c:pt>
                <c:pt idx="6">
                  <c:v>390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156974256"/>
        <c:axId val="-1156973168"/>
      </c:barChart>
      <c:catAx>
        <c:axId val="-11569742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56973168"/>
        <c:crosses val="autoZero"/>
        <c:auto val="1"/>
        <c:lblAlgn val="ctr"/>
        <c:lblOffset val="100"/>
        <c:noMultiLvlLbl val="0"/>
      </c:catAx>
      <c:valAx>
        <c:axId val="-1156973168"/>
        <c:scaling>
          <c:orientation val="minMax"/>
          <c:max val="500"/>
          <c:min val="3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56974256"/>
        <c:crossesAt val="1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20</xdr:row>
      <xdr:rowOff>29134</xdr:rowOff>
    </xdr:from>
    <xdr:to>
      <xdr:col>29</xdr:col>
      <xdr:colOff>392205</xdr:colOff>
      <xdr:row>35</xdr:row>
      <xdr:rowOff>168087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123263</xdr:colOff>
      <xdr:row>0</xdr:row>
      <xdr:rowOff>268941</xdr:rowOff>
    </xdr:from>
    <xdr:to>
      <xdr:col>29</xdr:col>
      <xdr:colOff>368671</xdr:colOff>
      <xdr:row>7</xdr:row>
      <xdr:rowOff>93664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0292" y="268941"/>
          <a:ext cx="1276350" cy="1337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9"/>
  <sheetViews>
    <sheetView tabSelected="1" zoomScale="85" zoomScaleNormal="85" workbookViewId="0">
      <selection activeCell="AA11" sqref="AA11"/>
    </sheetView>
  </sheetViews>
  <sheetFormatPr defaultRowHeight="15" x14ac:dyDescent="0.25"/>
  <cols>
    <col min="1" max="2" width="6.5703125" style="7" customWidth="1"/>
    <col min="3" max="3" width="21.5703125" style="7" customWidth="1"/>
    <col min="4" max="4" width="12.28515625" style="7" customWidth="1"/>
    <col min="5" max="5" width="6.7109375" style="8" customWidth="1"/>
    <col min="6" max="20" width="5.7109375" style="8" customWidth="1"/>
    <col min="21" max="25" width="6.7109375" style="8" customWidth="1"/>
    <col min="26" max="26" width="5" style="8" bestFit="1" customWidth="1"/>
    <col min="27" max="27" width="6.7109375" style="6" customWidth="1"/>
    <col min="28" max="29" width="4.28515625" style="6" bestFit="1" customWidth="1"/>
    <col min="30" max="30" width="6.7109375" style="6" customWidth="1"/>
    <col min="31" max="31" width="11.42578125" style="34" bestFit="1" customWidth="1"/>
    <col min="32" max="32" width="13.140625" style="35" bestFit="1" customWidth="1"/>
    <col min="33" max="36" width="9.140625" style="34"/>
    <col min="37" max="16384" width="9.140625" style="6"/>
  </cols>
  <sheetData>
    <row r="1" spans="1:36" ht="31.5" customHeight="1" x14ac:dyDescent="0.25">
      <c r="A1" s="66" t="s">
        <v>25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36" ht="12" customHeight="1" x14ac:dyDescent="0.25">
      <c r="W2" s="6"/>
      <c r="X2" s="6"/>
      <c r="Y2" s="34"/>
      <c r="Z2" s="34"/>
      <c r="AA2" s="35"/>
      <c r="AB2" s="35"/>
      <c r="AC2" s="35"/>
      <c r="AD2" s="34"/>
      <c r="AF2" s="34"/>
      <c r="AG2" s="6"/>
      <c r="AH2" s="6"/>
      <c r="AI2" s="6"/>
      <c r="AJ2" s="6"/>
    </row>
    <row r="3" spans="1:36" s="2" customFormat="1" ht="15" customHeight="1" x14ac:dyDescent="0.25">
      <c r="A3" s="68" t="s">
        <v>4</v>
      </c>
      <c r="B3" s="68"/>
      <c r="C3" s="5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  <c r="Y3" s="36"/>
      <c r="Z3" s="36"/>
      <c r="AA3" s="37"/>
      <c r="AB3" s="37"/>
      <c r="AC3" s="37"/>
      <c r="AD3" s="36"/>
      <c r="AE3" s="36"/>
      <c r="AF3" s="36"/>
    </row>
    <row r="4" spans="1:36" s="2" customFormat="1" ht="15" customHeight="1" x14ac:dyDescent="0.25">
      <c r="A4" s="68" t="s">
        <v>11</v>
      </c>
      <c r="B4" s="68"/>
      <c r="C4" s="5" t="s">
        <v>13</v>
      </c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  <c r="Y4" s="36"/>
      <c r="Z4" s="36"/>
      <c r="AA4" s="37"/>
      <c r="AB4" s="37"/>
      <c r="AC4" s="37"/>
      <c r="AD4" s="36"/>
      <c r="AE4" s="36"/>
      <c r="AF4" s="36"/>
    </row>
    <row r="5" spans="1:36" s="2" customFormat="1" ht="15" customHeight="1" x14ac:dyDescent="0.25">
      <c r="A5" s="63" t="s">
        <v>33</v>
      </c>
      <c r="C5" s="5" t="s">
        <v>34</v>
      </c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"/>
      <c r="W5" s="64"/>
      <c r="X5" s="4"/>
      <c r="Y5" s="36"/>
      <c r="Z5" s="36"/>
      <c r="AA5" s="37"/>
      <c r="AB5" s="37"/>
      <c r="AC5" s="37"/>
      <c r="AD5" s="36"/>
      <c r="AE5" s="36"/>
      <c r="AF5" s="36"/>
    </row>
    <row r="6" spans="1:36" s="2" customFormat="1" ht="15" customHeight="1" x14ac:dyDescent="0.25">
      <c r="A6" s="63" t="s">
        <v>35</v>
      </c>
      <c r="C6" s="5" t="s">
        <v>36</v>
      </c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"/>
      <c r="W6" s="64"/>
      <c r="X6" s="4"/>
      <c r="Y6" s="36"/>
      <c r="Z6" s="36"/>
      <c r="AA6" s="37"/>
      <c r="AB6" s="37"/>
      <c r="AC6" s="37"/>
      <c r="AD6" s="36"/>
      <c r="AE6" s="36"/>
      <c r="AF6" s="36"/>
    </row>
    <row r="7" spans="1:36" s="2" customFormat="1" ht="15" customHeight="1" x14ac:dyDescent="0.25">
      <c r="A7" s="63"/>
      <c r="B7" s="63"/>
      <c r="C7" s="5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"/>
      <c r="W7" s="64"/>
      <c r="X7" s="4"/>
      <c r="Y7" s="36"/>
      <c r="Z7" s="36"/>
      <c r="AA7" s="37"/>
      <c r="AB7" s="37"/>
      <c r="AC7" s="37"/>
      <c r="AD7" s="36"/>
      <c r="AE7" s="36"/>
      <c r="AF7" s="36"/>
    </row>
    <row r="8" spans="1:36" ht="12" customHeight="1" x14ac:dyDescent="0.25">
      <c r="W8" s="6"/>
      <c r="X8" s="6"/>
      <c r="Y8" s="34"/>
      <c r="Z8" s="34"/>
      <c r="AA8" s="35"/>
      <c r="AB8" s="35"/>
      <c r="AC8" s="35"/>
      <c r="AD8" s="34"/>
      <c r="AF8" s="34"/>
      <c r="AG8" s="6"/>
      <c r="AH8" s="6"/>
      <c r="AI8" s="6"/>
      <c r="AJ8" s="6"/>
    </row>
    <row r="9" spans="1:36" s="7" customFormat="1" ht="18.75" customHeight="1" x14ac:dyDescent="0.25">
      <c r="A9" s="67" t="s">
        <v>0</v>
      </c>
      <c r="B9" s="67" t="s">
        <v>1</v>
      </c>
      <c r="C9" s="67"/>
      <c r="D9" s="67" t="s">
        <v>2</v>
      </c>
      <c r="E9" s="65" t="s">
        <v>5</v>
      </c>
      <c r="F9" s="65" t="s">
        <v>19</v>
      </c>
      <c r="G9" s="65"/>
      <c r="H9" s="65"/>
      <c r="I9" s="65" t="s">
        <v>20</v>
      </c>
      <c r="J9" s="65"/>
      <c r="K9" s="65"/>
      <c r="L9" s="65" t="s">
        <v>21</v>
      </c>
      <c r="M9" s="65"/>
      <c r="N9" s="65"/>
      <c r="O9" s="65" t="s">
        <v>32</v>
      </c>
      <c r="P9" s="65"/>
      <c r="Q9" s="65"/>
      <c r="R9" s="65" t="s">
        <v>22</v>
      </c>
      <c r="S9" s="65"/>
      <c r="T9" s="65"/>
      <c r="U9" s="65" t="s">
        <v>23</v>
      </c>
      <c r="V9" s="65"/>
      <c r="W9" s="65"/>
      <c r="X9" s="69" t="s">
        <v>24</v>
      </c>
      <c r="Y9" s="65" t="s">
        <v>3</v>
      </c>
      <c r="Z9" s="65" t="s">
        <v>37</v>
      </c>
      <c r="AA9" s="65" t="s">
        <v>40</v>
      </c>
      <c r="AB9" s="65" t="s">
        <v>38</v>
      </c>
      <c r="AC9" s="65" t="s">
        <v>39</v>
      </c>
      <c r="AD9" s="65" t="s">
        <v>15</v>
      </c>
      <c r="AE9" s="38"/>
      <c r="AF9" s="39"/>
      <c r="AG9" s="38"/>
      <c r="AH9" s="38"/>
      <c r="AI9" s="38"/>
      <c r="AJ9" s="38"/>
    </row>
    <row r="10" spans="1:36" s="7" customFormat="1" ht="18.75" customHeight="1" x14ac:dyDescent="0.25">
      <c r="A10" s="67"/>
      <c r="B10" s="67"/>
      <c r="C10" s="67"/>
      <c r="D10" s="67"/>
      <c r="E10" s="65"/>
      <c r="F10" s="45" t="s">
        <v>16</v>
      </c>
      <c r="G10" s="45" t="s">
        <v>17</v>
      </c>
      <c r="H10" s="45" t="s">
        <v>18</v>
      </c>
      <c r="I10" s="45" t="s">
        <v>16</v>
      </c>
      <c r="J10" s="45" t="s">
        <v>17</v>
      </c>
      <c r="K10" s="45" t="s">
        <v>18</v>
      </c>
      <c r="L10" s="45" t="s">
        <v>16</v>
      </c>
      <c r="M10" s="45" t="s">
        <v>17</v>
      </c>
      <c r="N10" s="45" t="s">
        <v>18</v>
      </c>
      <c r="O10" s="45" t="s">
        <v>16</v>
      </c>
      <c r="P10" s="45" t="s">
        <v>17</v>
      </c>
      <c r="Q10" s="45" t="s">
        <v>18</v>
      </c>
      <c r="R10" s="45" t="s">
        <v>16</v>
      </c>
      <c r="S10" s="45" t="s">
        <v>17</v>
      </c>
      <c r="T10" s="45" t="s">
        <v>18</v>
      </c>
      <c r="U10" s="45" t="s">
        <v>16</v>
      </c>
      <c r="V10" s="45" t="s">
        <v>17</v>
      </c>
      <c r="W10" s="45" t="s">
        <v>18</v>
      </c>
      <c r="X10" s="69"/>
      <c r="Y10" s="65"/>
      <c r="Z10" s="65"/>
      <c r="AA10" s="65"/>
      <c r="AB10" s="65"/>
      <c r="AC10" s="65"/>
      <c r="AD10" s="65"/>
      <c r="AE10" s="38"/>
      <c r="AF10" s="39"/>
      <c r="AG10" s="38"/>
      <c r="AH10" s="38"/>
      <c r="AI10" s="38"/>
      <c r="AJ10" s="38"/>
    </row>
    <row r="11" spans="1:36" ht="21.75" customHeight="1" x14ac:dyDescent="0.25">
      <c r="A11" s="9">
        <v>1</v>
      </c>
      <c r="B11" s="71" t="s">
        <v>10</v>
      </c>
      <c r="C11" s="72"/>
      <c r="D11" s="10">
        <v>42328</v>
      </c>
      <c r="E11" s="11">
        <v>90</v>
      </c>
      <c r="F11" s="12">
        <v>12</v>
      </c>
      <c r="G11" s="13">
        <v>2</v>
      </c>
      <c r="H11" s="14">
        <v>18</v>
      </c>
      <c r="I11" s="12">
        <v>12</v>
      </c>
      <c r="J11" s="13">
        <v>2</v>
      </c>
      <c r="K11" s="14">
        <v>18</v>
      </c>
      <c r="L11" s="12">
        <v>18</v>
      </c>
      <c r="M11" s="13">
        <v>2</v>
      </c>
      <c r="N11" s="14">
        <v>18</v>
      </c>
      <c r="O11" s="12">
        <v>18</v>
      </c>
      <c r="P11" s="13">
        <v>2</v>
      </c>
      <c r="Q11" s="14">
        <v>18</v>
      </c>
      <c r="R11" s="12">
        <v>18</v>
      </c>
      <c r="S11" s="13">
        <v>2</v>
      </c>
      <c r="T11" s="14">
        <v>18</v>
      </c>
      <c r="U11" s="12">
        <f>SUM(F11,I11,L11,O11,R11)</f>
        <v>78</v>
      </c>
      <c r="V11" s="13">
        <f>SUM(G11,J11,M11,P11,S11)</f>
        <v>10</v>
      </c>
      <c r="W11" s="14">
        <f>SUM(H11,K11,N11,Q11,T11)</f>
        <v>90</v>
      </c>
      <c r="X11" s="15">
        <v>485</v>
      </c>
      <c r="Y11" s="42">
        <f>X11/700</f>
        <v>0.69285714285714284</v>
      </c>
      <c r="Z11" s="12">
        <v>3</v>
      </c>
      <c r="AA11" s="13">
        <v>12</v>
      </c>
      <c r="AB11" s="13">
        <v>12</v>
      </c>
      <c r="AC11" s="13">
        <v>12</v>
      </c>
      <c r="AD11" s="16">
        <v>325</v>
      </c>
      <c r="AE11" s="34" t="s">
        <v>6</v>
      </c>
      <c r="AF11" s="40">
        <v>0.8</v>
      </c>
      <c r="AH11" s="34" t="s">
        <v>6</v>
      </c>
    </row>
    <row r="12" spans="1:36" ht="21.75" customHeight="1" x14ac:dyDescent="0.25">
      <c r="A12" s="51">
        <v>2</v>
      </c>
      <c r="B12" s="73" t="s">
        <v>26</v>
      </c>
      <c r="C12" s="74"/>
      <c r="D12" s="52">
        <v>42329</v>
      </c>
      <c r="E12" s="53">
        <v>90</v>
      </c>
      <c r="F12" s="54">
        <v>12</v>
      </c>
      <c r="G12" s="55">
        <v>4</v>
      </c>
      <c r="H12" s="56">
        <v>16</v>
      </c>
      <c r="I12" s="54">
        <v>12</v>
      </c>
      <c r="J12" s="55">
        <v>4</v>
      </c>
      <c r="K12" s="56">
        <v>16</v>
      </c>
      <c r="L12" s="54">
        <v>16</v>
      </c>
      <c r="M12" s="55">
        <v>4</v>
      </c>
      <c r="N12" s="56">
        <v>16</v>
      </c>
      <c r="O12" s="54">
        <v>16</v>
      </c>
      <c r="P12" s="55">
        <v>4</v>
      </c>
      <c r="Q12" s="56">
        <v>16</v>
      </c>
      <c r="R12" s="54">
        <v>16</v>
      </c>
      <c r="S12" s="55">
        <v>4</v>
      </c>
      <c r="T12" s="56">
        <v>16</v>
      </c>
      <c r="U12" s="57">
        <f t="shared" ref="U12:U17" si="0">SUM(F12,I12,L12,O12,R12)</f>
        <v>72</v>
      </c>
      <c r="V12" s="58">
        <f t="shared" ref="V12:V17" si="1">SUM(G12,J12,M12,P12,S12)</f>
        <v>20</v>
      </c>
      <c r="W12" s="59">
        <f t="shared" ref="W12:W17" si="2">SUM(H12,K12,N12,Q12,T12)</f>
        <v>80</v>
      </c>
      <c r="X12" s="60">
        <v>450</v>
      </c>
      <c r="Y12" s="61">
        <f t="shared" ref="Y12:Y17" si="3">X12/700</f>
        <v>0.6428571428571429</v>
      </c>
      <c r="Z12" s="57">
        <v>4</v>
      </c>
      <c r="AA12" s="58">
        <v>62</v>
      </c>
      <c r="AB12" s="58">
        <v>62</v>
      </c>
      <c r="AC12" s="58">
        <v>62</v>
      </c>
      <c r="AD12" s="62">
        <v>652</v>
      </c>
      <c r="AE12" s="34" t="s">
        <v>6</v>
      </c>
      <c r="AF12" s="40">
        <v>0.9</v>
      </c>
      <c r="AH12" s="34" t="s">
        <v>6</v>
      </c>
    </row>
    <row r="13" spans="1:36" ht="21.75" customHeight="1" x14ac:dyDescent="0.25">
      <c r="A13" s="17">
        <v>3</v>
      </c>
      <c r="B13" s="75" t="s">
        <v>27</v>
      </c>
      <c r="C13" s="76"/>
      <c r="D13" s="18">
        <v>42330</v>
      </c>
      <c r="E13" s="19">
        <v>90</v>
      </c>
      <c r="F13" s="20">
        <v>12</v>
      </c>
      <c r="G13" s="21">
        <v>1</v>
      </c>
      <c r="H13" s="22">
        <v>19</v>
      </c>
      <c r="I13" s="20">
        <v>12</v>
      </c>
      <c r="J13" s="21">
        <v>1</v>
      </c>
      <c r="K13" s="22">
        <v>19</v>
      </c>
      <c r="L13" s="20">
        <v>19</v>
      </c>
      <c r="M13" s="21">
        <v>1</v>
      </c>
      <c r="N13" s="22">
        <v>19</v>
      </c>
      <c r="O13" s="20">
        <v>19</v>
      </c>
      <c r="P13" s="21">
        <v>1</v>
      </c>
      <c r="Q13" s="22">
        <v>19</v>
      </c>
      <c r="R13" s="20">
        <v>19</v>
      </c>
      <c r="S13" s="21">
        <v>1</v>
      </c>
      <c r="T13" s="22">
        <v>19</v>
      </c>
      <c r="U13" s="12">
        <f t="shared" si="0"/>
        <v>81</v>
      </c>
      <c r="V13" s="13">
        <f t="shared" si="1"/>
        <v>5</v>
      </c>
      <c r="W13" s="14">
        <f t="shared" si="2"/>
        <v>95</v>
      </c>
      <c r="X13" s="23">
        <v>420</v>
      </c>
      <c r="Y13" s="42">
        <f t="shared" si="3"/>
        <v>0.6</v>
      </c>
      <c r="Z13" s="12">
        <v>3</v>
      </c>
      <c r="AA13" s="13">
        <v>21</v>
      </c>
      <c r="AB13" s="13">
        <v>21</v>
      </c>
      <c r="AC13" s="13">
        <v>21</v>
      </c>
      <c r="AD13" s="16">
        <v>248</v>
      </c>
      <c r="AE13" s="34" t="s">
        <v>6</v>
      </c>
      <c r="AF13" s="40">
        <v>0.85</v>
      </c>
      <c r="AH13" s="34" t="s">
        <v>6</v>
      </c>
    </row>
    <row r="14" spans="1:36" ht="21.75" customHeight="1" x14ac:dyDescent="0.25">
      <c r="A14" s="51">
        <v>4</v>
      </c>
      <c r="B14" s="73" t="s">
        <v>28</v>
      </c>
      <c r="C14" s="74"/>
      <c r="D14" s="52">
        <v>42262</v>
      </c>
      <c r="E14" s="53">
        <v>90</v>
      </c>
      <c r="F14" s="54">
        <v>12</v>
      </c>
      <c r="G14" s="55">
        <v>0</v>
      </c>
      <c r="H14" s="56">
        <v>20</v>
      </c>
      <c r="I14" s="54">
        <v>12</v>
      </c>
      <c r="J14" s="55">
        <v>0</v>
      </c>
      <c r="K14" s="56">
        <v>20</v>
      </c>
      <c r="L14" s="54">
        <v>20</v>
      </c>
      <c r="M14" s="55">
        <v>0</v>
      </c>
      <c r="N14" s="56">
        <v>20</v>
      </c>
      <c r="O14" s="54">
        <v>20</v>
      </c>
      <c r="P14" s="55">
        <v>0</v>
      </c>
      <c r="Q14" s="56">
        <v>20</v>
      </c>
      <c r="R14" s="54">
        <v>20</v>
      </c>
      <c r="S14" s="55">
        <v>0</v>
      </c>
      <c r="T14" s="56">
        <v>20</v>
      </c>
      <c r="U14" s="57">
        <f t="shared" si="0"/>
        <v>84</v>
      </c>
      <c r="V14" s="58">
        <f t="shared" si="1"/>
        <v>0</v>
      </c>
      <c r="W14" s="59">
        <f t="shared" si="2"/>
        <v>100</v>
      </c>
      <c r="X14" s="60">
        <v>385</v>
      </c>
      <c r="Y14" s="61">
        <f t="shared" si="3"/>
        <v>0.55000000000000004</v>
      </c>
      <c r="Z14" s="57">
        <v>4</v>
      </c>
      <c r="AA14" s="58">
        <v>68</v>
      </c>
      <c r="AB14" s="58">
        <v>68</v>
      </c>
      <c r="AC14" s="58">
        <v>68</v>
      </c>
      <c r="AD14" s="62">
        <v>621</v>
      </c>
      <c r="AE14" s="34" t="s">
        <v>7</v>
      </c>
      <c r="AF14" s="40">
        <v>1</v>
      </c>
      <c r="AH14" s="34" t="s">
        <v>7</v>
      </c>
    </row>
    <row r="15" spans="1:36" ht="21.75" customHeight="1" x14ac:dyDescent="0.25">
      <c r="A15" s="17">
        <v>5</v>
      </c>
      <c r="B15" s="75" t="s">
        <v>29</v>
      </c>
      <c r="C15" s="76"/>
      <c r="D15" s="18">
        <v>42297</v>
      </c>
      <c r="E15" s="19">
        <v>90</v>
      </c>
      <c r="F15" s="20">
        <v>12</v>
      </c>
      <c r="G15" s="21">
        <v>0</v>
      </c>
      <c r="H15" s="22">
        <v>20</v>
      </c>
      <c r="I15" s="20">
        <v>12</v>
      </c>
      <c r="J15" s="21">
        <v>0</v>
      </c>
      <c r="K15" s="22">
        <v>20</v>
      </c>
      <c r="L15" s="20">
        <v>20</v>
      </c>
      <c r="M15" s="21">
        <v>0</v>
      </c>
      <c r="N15" s="22">
        <v>20</v>
      </c>
      <c r="O15" s="20">
        <v>20</v>
      </c>
      <c r="P15" s="21">
        <v>0</v>
      </c>
      <c r="Q15" s="22">
        <v>20</v>
      </c>
      <c r="R15" s="20">
        <v>20</v>
      </c>
      <c r="S15" s="21">
        <v>0</v>
      </c>
      <c r="T15" s="22">
        <v>20</v>
      </c>
      <c r="U15" s="12">
        <f t="shared" si="0"/>
        <v>84</v>
      </c>
      <c r="V15" s="13">
        <f t="shared" si="1"/>
        <v>0</v>
      </c>
      <c r="W15" s="14">
        <f t="shared" si="2"/>
        <v>100</v>
      </c>
      <c r="X15" s="23">
        <v>415</v>
      </c>
      <c r="Y15" s="42">
        <f t="shared" si="3"/>
        <v>0.59285714285714286</v>
      </c>
      <c r="Z15" s="12">
        <v>3</v>
      </c>
      <c r="AA15" s="13">
        <v>50</v>
      </c>
      <c r="AB15" s="13">
        <v>50</v>
      </c>
      <c r="AC15" s="13">
        <v>50</v>
      </c>
      <c r="AD15" s="16">
        <v>200</v>
      </c>
      <c r="AE15" s="34" t="s">
        <v>8</v>
      </c>
      <c r="AF15" s="40">
        <v>0.65</v>
      </c>
      <c r="AH15" s="34" t="s">
        <v>8</v>
      </c>
    </row>
    <row r="16" spans="1:36" ht="21.75" customHeight="1" x14ac:dyDescent="0.25">
      <c r="A16" s="51">
        <v>6</v>
      </c>
      <c r="B16" s="73" t="s">
        <v>30</v>
      </c>
      <c r="C16" s="74"/>
      <c r="D16" s="52">
        <v>42299</v>
      </c>
      <c r="E16" s="53">
        <v>90</v>
      </c>
      <c r="F16" s="54">
        <v>12</v>
      </c>
      <c r="G16" s="55">
        <v>1</v>
      </c>
      <c r="H16" s="56">
        <v>19</v>
      </c>
      <c r="I16" s="54">
        <v>12</v>
      </c>
      <c r="J16" s="55">
        <v>1</v>
      </c>
      <c r="K16" s="56">
        <v>19</v>
      </c>
      <c r="L16" s="54">
        <v>19</v>
      </c>
      <c r="M16" s="55">
        <v>1</v>
      </c>
      <c r="N16" s="56">
        <v>19</v>
      </c>
      <c r="O16" s="54">
        <v>19</v>
      </c>
      <c r="P16" s="55">
        <v>1</v>
      </c>
      <c r="Q16" s="56">
        <v>19</v>
      </c>
      <c r="R16" s="54">
        <v>19</v>
      </c>
      <c r="S16" s="55">
        <v>1</v>
      </c>
      <c r="T16" s="56">
        <v>19</v>
      </c>
      <c r="U16" s="57">
        <f t="shared" si="0"/>
        <v>81</v>
      </c>
      <c r="V16" s="58">
        <f t="shared" si="1"/>
        <v>5</v>
      </c>
      <c r="W16" s="59">
        <f t="shared" si="2"/>
        <v>95</v>
      </c>
      <c r="X16" s="60">
        <v>495</v>
      </c>
      <c r="Y16" s="61">
        <f t="shared" si="3"/>
        <v>0.70714285714285718</v>
      </c>
      <c r="Z16" s="57">
        <v>4</v>
      </c>
      <c r="AA16" s="58">
        <v>41</v>
      </c>
      <c r="AB16" s="58">
        <v>41</v>
      </c>
      <c r="AC16" s="58">
        <v>41</v>
      </c>
      <c r="AD16" s="62">
        <v>209</v>
      </c>
      <c r="AE16" s="34" t="s">
        <v>6</v>
      </c>
      <c r="AF16" s="40">
        <v>0.84</v>
      </c>
      <c r="AH16" s="34" t="s">
        <v>6</v>
      </c>
    </row>
    <row r="17" spans="1:34" ht="21.75" customHeight="1" x14ac:dyDescent="0.25">
      <c r="A17" s="24">
        <v>7</v>
      </c>
      <c r="B17" s="77" t="s">
        <v>31</v>
      </c>
      <c r="C17" s="78"/>
      <c r="D17" s="25">
        <v>42329</v>
      </c>
      <c r="E17" s="26">
        <v>90</v>
      </c>
      <c r="F17" s="27">
        <v>12</v>
      </c>
      <c r="G17" s="28">
        <v>2</v>
      </c>
      <c r="H17" s="29">
        <v>18</v>
      </c>
      <c r="I17" s="27">
        <v>12</v>
      </c>
      <c r="J17" s="28">
        <v>2</v>
      </c>
      <c r="K17" s="29">
        <v>18</v>
      </c>
      <c r="L17" s="27">
        <v>18</v>
      </c>
      <c r="M17" s="28">
        <v>2</v>
      </c>
      <c r="N17" s="29">
        <v>18</v>
      </c>
      <c r="O17" s="27">
        <v>18</v>
      </c>
      <c r="P17" s="28">
        <v>2</v>
      </c>
      <c r="Q17" s="29">
        <v>18</v>
      </c>
      <c r="R17" s="27">
        <v>18</v>
      </c>
      <c r="S17" s="28">
        <v>2</v>
      </c>
      <c r="T17" s="29">
        <v>18</v>
      </c>
      <c r="U17" s="49">
        <f t="shared" si="0"/>
        <v>78</v>
      </c>
      <c r="V17" s="31">
        <f t="shared" si="1"/>
        <v>10</v>
      </c>
      <c r="W17" s="50">
        <f t="shared" si="2"/>
        <v>90</v>
      </c>
      <c r="X17" s="30">
        <v>390</v>
      </c>
      <c r="Y17" s="43">
        <f t="shared" si="3"/>
        <v>0.55714285714285716</v>
      </c>
      <c r="Z17" s="49">
        <v>3</v>
      </c>
      <c r="AA17" s="31">
        <v>10</v>
      </c>
      <c r="AB17" s="31">
        <v>10</v>
      </c>
      <c r="AC17" s="31">
        <v>10</v>
      </c>
      <c r="AD17" s="32">
        <v>120</v>
      </c>
      <c r="AE17" s="34" t="s">
        <v>9</v>
      </c>
      <c r="AF17" s="41">
        <v>0.82</v>
      </c>
      <c r="AH17" s="34" t="s">
        <v>9</v>
      </c>
    </row>
    <row r="18" spans="1:34" ht="10.5" customHeight="1" x14ac:dyDescent="0.25">
      <c r="C18" s="70"/>
      <c r="D18" s="70"/>
      <c r="Y18" s="44"/>
      <c r="Z18" s="44"/>
    </row>
    <row r="19" spans="1:34" ht="21" customHeight="1" x14ac:dyDescent="0.25">
      <c r="C19" s="33"/>
      <c r="D19" s="46" t="s">
        <v>14</v>
      </c>
      <c r="E19" s="47">
        <f>AVERAGE(E11:E17)</f>
        <v>90</v>
      </c>
      <c r="F19" s="47">
        <f t="shared" ref="F19:Y19" si="4">AVERAGE(F11:F17)</f>
        <v>12</v>
      </c>
      <c r="G19" s="47">
        <f t="shared" si="4"/>
        <v>1.4285714285714286</v>
      </c>
      <c r="H19" s="47">
        <f t="shared" si="4"/>
        <v>18.571428571428573</v>
      </c>
      <c r="I19" s="47">
        <f t="shared" si="4"/>
        <v>12</v>
      </c>
      <c r="J19" s="47">
        <f t="shared" si="4"/>
        <v>1.4285714285714286</v>
      </c>
      <c r="K19" s="47">
        <f t="shared" si="4"/>
        <v>18.571428571428573</v>
      </c>
      <c r="L19" s="47">
        <f t="shared" si="4"/>
        <v>18.571428571428573</v>
      </c>
      <c r="M19" s="47">
        <f t="shared" si="4"/>
        <v>1.4285714285714286</v>
      </c>
      <c r="N19" s="47">
        <f t="shared" si="4"/>
        <v>18.571428571428573</v>
      </c>
      <c r="O19" s="47">
        <f t="shared" si="4"/>
        <v>18.571428571428573</v>
      </c>
      <c r="P19" s="47">
        <f t="shared" si="4"/>
        <v>1.4285714285714286</v>
      </c>
      <c r="Q19" s="47">
        <f t="shared" si="4"/>
        <v>18.571428571428573</v>
      </c>
      <c r="R19" s="47">
        <f t="shared" si="4"/>
        <v>18.571428571428573</v>
      </c>
      <c r="S19" s="47">
        <f t="shared" si="4"/>
        <v>1.4285714285714286</v>
      </c>
      <c r="T19" s="47">
        <f t="shared" si="4"/>
        <v>18.571428571428573</v>
      </c>
      <c r="U19" s="47">
        <f t="shared" si="4"/>
        <v>79.714285714285708</v>
      </c>
      <c r="V19" s="47">
        <f t="shared" si="4"/>
        <v>7.1428571428571432</v>
      </c>
      <c r="W19" s="47">
        <f t="shared" si="4"/>
        <v>92.857142857142861</v>
      </c>
      <c r="X19" s="47">
        <f t="shared" si="4"/>
        <v>434.28571428571428</v>
      </c>
      <c r="Y19" s="48">
        <f t="shared" si="4"/>
        <v>0.62040816326530623</v>
      </c>
      <c r="Z19"/>
    </row>
  </sheetData>
  <mergeCells count="28">
    <mergeCell ref="AB9:AB10"/>
    <mergeCell ref="Z9:Z10"/>
    <mergeCell ref="E9:E10"/>
    <mergeCell ref="C18:D18"/>
    <mergeCell ref="B11:C11"/>
    <mergeCell ref="B12:C12"/>
    <mergeCell ref="B14:C14"/>
    <mergeCell ref="B15:C15"/>
    <mergeCell ref="B16:C16"/>
    <mergeCell ref="B17:C17"/>
    <mergeCell ref="B13:C13"/>
    <mergeCell ref="F9:H9"/>
    <mergeCell ref="AC9:AC10"/>
    <mergeCell ref="A1:AD1"/>
    <mergeCell ref="B9:C10"/>
    <mergeCell ref="A4:B4"/>
    <mergeCell ref="A3:B3"/>
    <mergeCell ref="Y9:Y10"/>
    <mergeCell ref="AA9:AA10"/>
    <mergeCell ref="AD9:AD10"/>
    <mergeCell ref="I9:K9"/>
    <mergeCell ref="X9:X10"/>
    <mergeCell ref="L9:N9"/>
    <mergeCell ref="O9:Q9"/>
    <mergeCell ref="R9:T9"/>
    <mergeCell ref="U9:W9"/>
    <mergeCell ref="A9:A10"/>
    <mergeCell ref="D9:D10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7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2016-02-05T22:42:28Z</dcterms:modified>
</cp:coreProperties>
</file>