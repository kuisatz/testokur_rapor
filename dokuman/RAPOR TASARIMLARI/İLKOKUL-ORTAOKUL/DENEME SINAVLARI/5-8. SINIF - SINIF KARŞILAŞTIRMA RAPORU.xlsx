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R13" i="1" l="1"/>
  <c r="Q8" i="1" l="1"/>
  <c r="Q9" i="1"/>
  <c r="Q10" i="1"/>
  <c r="Q11" i="1"/>
  <c r="O8" i="1"/>
  <c r="O9" i="1"/>
  <c r="O10" i="1"/>
  <c r="O11" i="1"/>
  <c r="O7" i="1"/>
  <c r="M8" i="1"/>
  <c r="M9" i="1"/>
  <c r="M10" i="1"/>
  <c r="M11" i="1"/>
  <c r="M7" i="1"/>
  <c r="K8" i="1"/>
  <c r="K9" i="1"/>
  <c r="K10" i="1"/>
  <c r="K11" i="1"/>
  <c r="K7" i="1"/>
  <c r="I8" i="1"/>
  <c r="I9" i="1"/>
  <c r="I10" i="1"/>
  <c r="I11" i="1"/>
  <c r="I7" i="1"/>
  <c r="G8" i="1"/>
  <c r="G9" i="1"/>
  <c r="G10" i="1"/>
  <c r="S10" i="1" s="1"/>
  <c r="G11" i="1"/>
  <c r="S11" i="1" s="1"/>
  <c r="G7" i="1"/>
  <c r="E8" i="1"/>
  <c r="S8" i="1" s="1"/>
  <c r="E9" i="1"/>
  <c r="S9" i="1" s="1"/>
  <c r="E10" i="1"/>
  <c r="E11" i="1"/>
  <c r="E7" i="1"/>
  <c r="Q7" i="1"/>
  <c r="Q13" i="1" s="1"/>
  <c r="F13" i="1"/>
  <c r="H13" i="1"/>
  <c r="J13" i="1"/>
  <c r="L13" i="1"/>
  <c r="N13" i="1"/>
  <c r="O13" i="1"/>
  <c r="D13" i="1"/>
  <c r="I13" i="1" l="1"/>
  <c r="M13" i="1"/>
  <c r="K13" i="1"/>
  <c r="S7" i="1"/>
  <c r="S13" i="1" s="1"/>
  <c r="G13" i="1"/>
  <c r="E13" i="1"/>
</calcChain>
</file>

<file path=xl/sharedStrings.xml><?xml version="1.0" encoding="utf-8"?>
<sst xmlns="http://schemas.openxmlformats.org/spreadsheetml/2006/main" count="34" uniqueCount="23">
  <si>
    <t>Sıra</t>
  </si>
  <si>
    <t>Sınıf</t>
  </si>
  <si>
    <t>Öğrenci
Sayısı</t>
  </si>
  <si>
    <t>Sınav Adı</t>
  </si>
  <si>
    <t>ORTALAMALAR</t>
  </si>
  <si>
    <t>: 1.TEOG DENEME</t>
  </si>
  <si>
    <t>8/A</t>
  </si>
  <si>
    <t>8/B</t>
  </si>
  <si>
    <t>8/C</t>
  </si>
  <si>
    <t>8/D</t>
  </si>
  <si>
    <t>8/E</t>
  </si>
  <si>
    <t>1.TEOG DENEME SINIF KARŞILAŞTIRMA RAPORU</t>
  </si>
  <si>
    <t>Türkçe</t>
  </si>
  <si>
    <t>Matematik</t>
  </si>
  <si>
    <t>Din Kültürü</t>
  </si>
  <si>
    <t>Ort.
Net</t>
  </si>
  <si>
    <t>Fen Bilimleri</t>
  </si>
  <si>
    <t>İngilizce</t>
  </si>
  <si>
    <t>Sınav Tarihi:</t>
  </si>
  <si>
    <t>Ort.
Puan</t>
  </si>
  <si>
    <t>Başarı
(%)</t>
  </si>
  <si>
    <t>Ort.
Başarı
(%)</t>
  </si>
  <si>
    <t>Sosyal / İnk. 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</si>
</sst>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99CC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/>
    <xf numFmtId="0" fontId="0" fillId="0" borderId="2" xfId="0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indent="1"/>
    </xf>
    <xf numFmtId="0" fontId="3" fillId="0" borderId="0" xfId="0" applyFont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 indent="1"/>
    </xf>
    <xf numFmtId="0" fontId="0" fillId="0" borderId="13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2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2" fontId="5" fillId="0" borderId="0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indent="1"/>
    </xf>
    <xf numFmtId="0" fontId="0" fillId="2" borderId="9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2" fontId="0" fillId="2" borderId="16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14" fontId="3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CCFF"/>
      <color rgb="FF66CCFF"/>
      <color rgb="FFCCECFF"/>
      <color rgb="FF00CCFF"/>
      <color rgb="FF96E6FF"/>
      <color rgb="FF99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Sayfa1!$D$7:$D$11</c:f>
              <c:numCache>
                <c:formatCode>0.00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18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049766992"/>
        <c:axId val="-1049757200"/>
      </c:barChart>
      <c:catAx>
        <c:axId val="-104976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57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04975720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699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Sayfa1!$H$7:$H$11</c:f>
              <c:numCache>
                <c:formatCode>0.00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13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049771888"/>
        <c:axId val="-1049766448"/>
      </c:barChart>
      <c:catAx>
        <c:axId val="-104977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6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04976644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7188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Sayfa1!$F$7:$F$11</c:f>
              <c:numCache>
                <c:formatCode>0.00</c:formatCode>
                <c:ptCount val="5"/>
                <c:pt idx="0">
                  <c:v>12</c:v>
                </c:pt>
                <c:pt idx="1">
                  <c:v>11</c:v>
                </c:pt>
                <c:pt idx="2">
                  <c:v>10.5</c:v>
                </c:pt>
                <c:pt idx="3">
                  <c:v>13.5</c:v>
                </c:pt>
                <c:pt idx="4">
                  <c:v>14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049769712"/>
        <c:axId val="-1049752848"/>
      </c:barChart>
      <c:catAx>
        <c:axId val="-104976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52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04975284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971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Sayfa1!$J$7:$J$11</c:f>
              <c:numCache>
                <c:formatCode>0.00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18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049751216"/>
        <c:axId val="-1049752304"/>
      </c:barChart>
      <c:catAx>
        <c:axId val="-104975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52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049752304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5121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Sayfa1!$N$7:$N$11</c:f>
              <c:numCache>
                <c:formatCode>0.00</c:formatCode>
                <c:ptCount val="5"/>
                <c:pt idx="0">
                  <c:v>17</c:v>
                </c:pt>
                <c:pt idx="1">
                  <c:v>9</c:v>
                </c:pt>
                <c:pt idx="2">
                  <c:v>12</c:v>
                </c:pt>
                <c:pt idx="3">
                  <c:v>6</c:v>
                </c:pt>
                <c:pt idx="4">
                  <c:v>13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049750128"/>
        <c:axId val="-1049749040"/>
      </c:barChart>
      <c:catAx>
        <c:axId val="-10497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490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04974904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5012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Sayfa1!$L$7:$L$11</c:f>
              <c:numCache>
                <c:formatCode>0.00</c:formatCode>
                <c:ptCount val="5"/>
                <c:pt idx="0">
                  <c:v>11</c:v>
                </c:pt>
                <c:pt idx="1">
                  <c:v>16</c:v>
                </c:pt>
                <c:pt idx="2">
                  <c:v>13</c:v>
                </c:pt>
                <c:pt idx="3">
                  <c:v>11</c:v>
                </c:pt>
                <c:pt idx="4">
                  <c:v>19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049747952"/>
        <c:axId val="-1049764272"/>
      </c:barChart>
      <c:catAx>
        <c:axId val="-104974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64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04976427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4974795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257176</xdr:colOff>
      <xdr:row>14</xdr:row>
      <xdr:rowOff>133350</xdr:rowOff>
    </xdr:from>
    <xdr:to>
      <xdr:col>5</xdr:col>
      <xdr:colOff>9525</xdr:colOff>
      <xdr:row>22</xdr:row>
      <xdr:rowOff>9525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285750</xdr:colOff>
      <xdr:row>14</xdr:row>
      <xdr:rowOff>104775</xdr:rowOff>
    </xdr:from>
    <xdr:to>
      <xdr:col>18</xdr:col>
      <xdr:colOff>428624</xdr:colOff>
      <xdr:row>21</xdr:row>
      <xdr:rowOff>171450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409575</xdr:colOff>
      <xdr:row>14</xdr:row>
      <xdr:rowOff>123825</xdr:rowOff>
    </xdr:from>
    <xdr:to>
      <xdr:col>11</xdr:col>
      <xdr:colOff>419099</xdr:colOff>
      <xdr:row>22</xdr:row>
      <xdr:rowOff>0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276225</xdr:colOff>
      <xdr:row>25</xdr:row>
      <xdr:rowOff>28575</xdr:rowOff>
    </xdr:from>
    <xdr:to>
      <xdr:col>5</xdr:col>
      <xdr:colOff>28574</xdr:colOff>
      <xdr:row>32</xdr:row>
      <xdr:rowOff>95250</xdr:rowOff>
    </xdr:to>
    <xdr:graphicFrame macro="">
      <xdr:nvGraphicFramePr>
        <xdr:cNvPr id="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304799</xdr:colOff>
      <xdr:row>25</xdr:row>
      <xdr:rowOff>0</xdr:rowOff>
    </xdr:from>
    <xdr:to>
      <xdr:col>18</xdr:col>
      <xdr:colOff>447673</xdr:colOff>
      <xdr:row>32</xdr:row>
      <xdr:rowOff>66675</xdr:rowOff>
    </xdr:to>
    <xdr:graphicFrame macro="">
      <xdr:nvGraphicFramePr>
        <xdr:cNvPr id="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428624</xdr:colOff>
      <xdr:row>25</xdr:row>
      <xdr:rowOff>19050</xdr:rowOff>
    </xdr:from>
    <xdr:to>
      <xdr:col>11</xdr:col>
      <xdr:colOff>438148</xdr:colOff>
      <xdr:row>32</xdr:row>
      <xdr:rowOff>85725</xdr:rowOff>
    </xdr:to>
    <xdr:graphicFrame macro="">
      <xdr:nvGraphicFramePr>
        <xdr:cNvPr id="1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219074</xdr:colOff>
      <xdr:row>32</xdr:row>
      <xdr:rowOff>9525</xdr:rowOff>
    </xdr:from>
    <xdr:to>
      <xdr:col>4</xdr:col>
      <xdr:colOff>47624</xdr:colOff>
      <xdr:row>33</xdr:row>
      <xdr:rowOff>57150</xdr:rowOff>
    </xdr:to>
    <xdr:sp macro="" textlink="">
      <xdr:nvSpPr>
        <xdr:cNvPr id="11" name="Metin kutusu 10"/>
        <xdr:cNvSpPr txBox="1"/>
      </xdr:nvSpPr>
      <xdr:spPr>
        <a:xfrm>
          <a:off x="657224" y="6686550"/>
          <a:ext cx="1438275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FEN BİLİMLERİ</a:t>
          </a:r>
        </a:p>
      </xdr:txBody>
    </xdr:sp>
    <xdr:clientData/>
  </xdr:twoCellAnchor>
  <xdr:twoCellAnchor>
    <xdr:from>
      <xdr:col>7</xdr:col>
      <xdr:colOff>438149</xdr:colOff>
      <xdr:row>32</xdr:row>
      <xdr:rowOff>9525</xdr:rowOff>
    </xdr:from>
    <xdr:to>
      <xdr:col>11</xdr:col>
      <xdr:colOff>85724</xdr:colOff>
      <xdr:row>33</xdr:row>
      <xdr:rowOff>57150</xdr:rowOff>
    </xdr:to>
    <xdr:sp macro="" textlink="">
      <xdr:nvSpPr>
        <xdr:cNvPr id="12" name="Metin kutusu 11"/>
        <xdr:cNvSpPr txBox="1"/>
      </xdr:nvSpPr>
      <xdr:spPr>
        <a:xfrm>
          <a:off x="3829049" y="6686550"/>
          <a:ext cx="1438275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İNKILAP TARİHİ</a:t>
          </a:r>
        </a:p>
      </xdr:txBody>
    </xdr:sp>
    <xdr:clientData/>
  </xdr:twoCellAnchor>
  <xdr:twoCellAnchor>
    <xdr:from>
      <xdr:col>14</xdr:col>
      <xdr:colOff>342899</xdr:colOff>
      <xdr:row>32</xdr:row>
      <xdr:rowOff>0</xdr:rowOff>
    </xdr:from>
    <xdr:to>
      <xdr:col>18</xdr:col>
      <xdr:colOff>123824</xdr:colOff>
      <xdr:row>33</xdr:row>
      <xdr:rowOff>47625</xdr:rowOff>
    </xdr:to>
    <xdr:sp macro="" textlink="">
      <xdr:nvSpPr>
        <xdr:cNvPr id="13" name="Metin kutusu 12"/>
        <xdr:cNvSpPr txBox="1"/>
      </xdr:nvSpPr>
      <xdr:spPr>
        <a:xfrm>
          <a:off x="7600949" y="6943725"/>
          <a:ext cx="1504950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İNGİLİZCE</a:t>
          </a:r>
        </a:p>
      </xdr:txBody>
    </xdr:sp>
    <xdr:clientData/>
  </xdr:twoCellAnchor>
  <xdr:twoCellAnchor>
    <xdr:from>
      <xdr:col>1</xdr:col>
      <xdr:colOff>200025</xdr:colOff>
      <xdr:row>21</xdr:row>
      <xdr:rowOff>133350</xdr:rowOff>
    </xdr:from>
    <xdr:to>
      <xdr:col>4</xdr:col>
      <xdr:colOff>28575</xdr:colOff>
      <xdr:row>22</xdr:row>
      <xdr:rowOff>180975</xdr:rowOff>
    </xdr:to>
    <xdr:sp macro="" textlink="">
      <xdr:nvSpPr>
        <xdr:cNvPr id="2" name="Metin kutusu 1"/>
        <xdr:cNvSpPr txBox="1"/>
      </xdr:nvSpPr>
      <xdr:spPr>
        <a:xfrm>
          <a:off x="638175" y="5172075"/>
          <a:ext cx="1504950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TÜRKÇE</a:t>
          </a:r>
        </a:p>
      </xdr:txBody>
    </xdr:sp>
    <xdr:clientData/>
  </xdr:twoCellAnchor>
  <xdr:twoCellAnchor>
    <xdr:from>
      <xdr:col>14</xdr:col>
      <xdr:colOff>323850</xdr:colOff>
      <xdr:row>21</xdr:row>
      <xdr:rowOff>123825</xdr:rowOff>
    </xdr:from>
    <xdr:to>
      <xdr:col>18</xdr:col>
      <xdr:colOff>104775</xdr:colOff>
      <xdr:row>22</xdr:row>
      <xdr:rowOff>171450</xdr:rowOff>
    </xdr:to>
    <xdr:sp macro="" textlink="">
      <xdr:nvSpPr>
        <xdr:cNvPr id="7" name="Metin kutusu 6"/>
        <xdr:cNvSpPr txBox="1"/>
      </xdr:nvSpPr>
      <xdr:spPr>
        <a:xfrm>
          <a:off x="7581900" y="5162550"/>
          <a:ext cx="1504950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DİN KÜLTÜRÜ</a:t>
          </a:r>
        </a:p>
      </xdr:txBody>
    </xdr:sp>
    <xdr:clientData/>
  </xdr:twoCellAnchor>
  <xdr:twoCellAnchor>
    <xdr:from>
      <xdr:col>7</xdr:col>
      <xdr:colOff>371475</xdr:colOff>
      <xdr:row>21</xdr:row>
      <xdr:rowOff>123825</xdr:rowOff>
    </xdr:from>
    <xdr:to>
      <xdr:col>11</xdr:col>
      <xdr:colOff>19050</xdr:colOff>
      <xdr:row>22</xdr:row>
      <xdr:rowOff>171450</xdr:rowOff>
    </xdr:to>
    <xdr:sp macro="" textlink="">
      <xdr:nvSpPr>
        <xdr:cNvPr id="6" name="Metin kutusu 5"/>
        <xdr:cNvSpPr txBox="1"/>
      </xdr:nvSpPr>
      <xdr:spPr>
        <a:xfrm>
          <a:off x="4029075" y="5162550"/>
          <a:ext cx="1704975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MATEMATİK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zoomScaleNormal="100" workbookViewId="0">
      <selection activeCell="G3" sqref="G3"/>
    </sheetView>
  </sheetViews>
  <sheetFormatPr defaultRowHeight="15" x14ac:dyDescent="0.25"/>
  <cols>
    <col min="1" max="1" width="6.5703125" style="1" customWidth="1"/>
    <col min="2" max="3" width="8.7109375" style="1" customWidth="1"/>
    <col min="4" max="4" width="7.7109375" style="3" customWidth="1"/>
    <col min="5" max="15" width="7.7109375" style="2" customWidth="1"/>
    <col min="16" max="16" width="0.7109375" style="3" customWidth="1"/>
    <col min="17" max="19" width="8.7109375" style="3" customWidth="1"/>
    <col min="20" max="16384" width="9.140625" style="3"/>
  </cols>
  <sheetData>
    <row r="1" spans="1:19" s="13" customFormat="1" ht="31.5" customHeight="1" x14ac:dyDescent="0.25">
      <c r="A1" s="61" t="s">
        <v>11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19" s="13" customFormat="1" ht="15" customHeight="1" x14ac:dyDescent="0.25">
      <c r="A2" s="14"/>
      <c r="B2" s="53"/>
      <c r="C2" s="53"/>
      <c r="D2" s="10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10"/>
      <c r="Q2" s="10"/>
      <c r="R2" s="10"/>
    </row>
    <row r="3" spans="1:19" s="5" customFormat="1" ht="15" customHeight="1" x14ac:dyDescent="0.25">
      <c r="A3" s="57" t="s">
        <v>3</v>
      </c>
      <c r="B3" s="57"/>
      <c r="C3" s="58" t="s">
        <v>5</v>
      </c>
      <c r="D3" s="58"/>
      <c r="E3" s="58"/>
      <c r="F3" s="4"/>
      <c r="G3" s="4"/>
      <c r="H3" s="4"/>
      <c r="I3" s="4"/>
      <c r="J3" s="4"/>
      <c r="K3" s="4"/>
      <c r="L3" s="4"/>
      <c r="M3" s="12"/>
      <c r="N3" s="65" t="s">
        <v>18</v>
      </c>
      <c r="O3" s="65"/>
      <c r="P3" s="65"/>
      <c r="Q3" s="65"/>
      <c r="R3" s="64">
        <v>42384</v>
      </c>
      <c r="S3" s="64"/>
    </row>
    <row r="4" spans="1:19" ht="15" customHeight="1" x14ac:dyDescent="0.25"/>
    <row r="5" spans="1:19" s="15" customFormat="1" ht="22.5" customHeight="1" x14ac:dyDescent="0.25">
      <c r="A5" s="59" t="s">
        <v>0</v>
      </c>
      <c r="B5" s="59" t="s">
        <v>1</v>
      </c>
      <c r="C5" s="60" t="s">
        <v>2</v>
      </c>
      <c r="D5" s="59" t="s">
        <v>12</v>
      </c>
      <c r="E5" s="59"/>
      <c r="F5" s="59" t="s">
        <v>13</v>
      </c>
      <c r="G5" s="59"/>
      <c r="H5" s="59" t="s">
        <v>14</v>
      </c>
      <c r="I5" s="59"/>
      <c r="J5" s="59" t="s">
        <v>16</v>
      </c>
      <c r="K5" s="59"/>
      <c r="L5" s="59" t="s">
        <v>22</v>
      </c>
      <c r="M5" s="59"/>
      <c r="N5" s="59" t="s">
        <v>17</v>
      </c>
      <c r="O5" s="59"/>
      <c r="P5" s="20"/>
      <c r="Q5" s="62" t="s">
        <v>15</v>
      </c>
      <c r="R5" s="62" t="s">
        <v>19</v>
      </c>
      <c r="S5" s="62" t="s">
        <v>21</v>
      </c>
    </row>
    <row r="6" spans="1:19" s="1" customFormat="1" ht="30" x14ac:dyDescent="0.25">
      <c r="A6" s="59"/>
      <c r="B6" s="59"/>
      <c r="C6" s="60"/>
      <c r="D6" s="48" t="s">
        <v>15</v>
      </c>
      <c r="E6" s="48" t="s">
        <v>20</v>
      </c>
      <c r="F6" s="48" t="s">
        <v>15</v>
      </c>
      <c r="G6" s="48" t="s">
        <v>20</v>
      </c>
      <c r="H6" s="48" t="s">
        <v>15</v>
      </c>
      <c r="I6" s="48" t="s">
        <v>20</v>
      </c>
      <c r="J6" s="48" t="s">
        <v>15</v>
      </c>
      <c r="K6" s="48" t="s">
        <v>20</v>
      </c>
      <c r="L6" s="48" t="s">
        <v>15</v>
      </c>
      <c r="M6" s="48" t="s">
        <v>20</v>
      </c>
      <c r="N6" s="48" t="s">
        <v>15</v>
      </c>
      <c r="O6" s="48" t="s">
        <v>20</v>
      </c>
      <c r="P6" s="21"/>
      <c r="Q6" s="63"/>
      <c r="R6" s="63"/>
      <c r="S6" s="63"/>
    </row>
    <row r="7" spans="1:19" ht="21.75" customHeight="1" x14ac:dyDescent="0.25">
      <c r="A7" s="24">
        <v>1</v>
      </c>
      <c r="B7" s="25" t="s">
        <v>6</v>
      </c>
      <c r="C7" s="26">
        <v>20</v>
      </c>
      <c r="D7" s="27">
        <v>18</v>
      </c>
      <c r="E7" s="28">
        <f>D7*5/100</f>
        <v>0.9</v>
      </c>
      <c r="F7" s="27">
        <v>12</v>
      </c>
      <c r="G7" s="28">
        <f>F7*5/100</f>
        <v>0.6</v>
      </c>
      <c r="H7" s="27">
        <v>17</v>
      </c>
      <c r="I7" s="28">
        <f>H7*5/100</f>
        <v>0.85</v>
      </c>
      <c r="J7" s="27">
        <v>18</v>
      </c>
      <c r="K7" s="28">
        <f>J7*5/100</f>
        <v>0.9</v>
      </c>
      <c r="L7" s="27">
        <v>11</v>
      </c>
      <c r="M7" s="28">
        <f>L7*5/100</f>
        <v>0.55000000000000004</v>
      </c>
      <c r="N7" s="27">
        <v>17</v>
      </c>
      <c r="O7" s="28">
        <f>N7*5/100</f>
        <v>0.85</v>
      </c>
      <c r="Q7" s="33">
        <f>AVERAGE(D7,F7,H7,J7,L7,N7)</f>
        <v>15.5</v>
      </c>
      <c r="R7" s="33">
        <v>550</v>
      </c>
      <c r="S7" s="34">
        <f>AVERAGE(E7,G7,I7,K7,M7,O7)</f>
        <v>0.77499999999999991</v>
      </c>
    </row>
    <row r="8" spans="1:19" ht="21.75" customHeight="1" x14ac:dyDescent="0.25">
      <c r="A8" s="41">
        <v>2</v>
      </c>
      <c r="B8" s="42" t="s">
        <v>7</v>
      </c>
      <c r="C8" s="43">
        <v>22</v>
      </c>
      <c r="D8" s="44">
        <v>15</v>
      </c>
      <c r="E8" s="45">
        <f t="shared" ref="E8:E11" si="0">D8*5/100</f>
        <v>0.75</v>
      </c>
      <c r="F8" s="44">
        <v>11</v>
      </c>
      <c r="G8" s="45">
        <f t="shared" ref="G8:G11" si="1">F8*5/100</f>
        <v>0.55000000000000004</v>
      </c>
      <c r="H8" s="44">
        <v>15</v>
      </c>
      <c r="I8" s="45">
        <f t="shared" ref="I8:I11" si="2">H8*5/100</f>
        <v>0.75</v>
      </c>
      <c r="J8" s="44">
        <v>15</v>
      </c>
      <c r="K8" s="45">
        <f t="shared" ref="K8:K11" si="3">J8*5/100</f>
        <v>0.75</v>
      </c>
      <c r="L8" s="44">
        <v>16</v>
      </c>
      <c r="M8" s="45">
        <f t="shared" ref="M8:M11" si="4">L8*5/100</f>
        <v>0.8</v>
      </c>
      <c r="N8" s="44">
        <v>9</v>
      </c>
      <c r="O8" s="45">
        <f t="shared" ref="O8:O11" si="5">N8*5/100</f>
        <v>0.45</v>
      </c>
      <c r="Q8" s="46">
        <f t="shared" ref="Q8:Q11" si="6">AVERAGE(D8,F8,H8,J8,L8,N8)</f>
        <v>13.5</v>
      </c>
      <c r="R8" s="46">
        <v>535.20000000000005</v>
      </c>
      <c r="S8" s="47">
        <f t="shared" ref="S8:S11" si="7">AVERAGE(E8,G8,I8,K8,M8,O8)</f>
        <v>0.67499999999999993</v>
      </c>
    </row>
    <row r="9" spans="1:19" ht="21.75" customHeight="1" x14ac:dyDescent="0.25">
      <c r="A9" s="7">
        <v>3</v>
      </c>
      <c r="B9" s="6" t="s">
        <v>8</v>
      </c>
      <c r="C9" s="16">
        <v>19</v>
      </c>
      <c r="D9" s="18">
        <v>16</v>
      </c>
      <c r="E9" s="22">
        <f t="shared" si="0"/>
        <v>0.8</v>
      </c>
      <c r="F9" s="18">
        <v>10.5</v>
      </c>
      <c r="G9" s="22">
        <f t="shared" si="1"/>
        <v>0.52500000000000002</v>
      </c>
      <c r="H9" s="18">
        <v>13</v>
      </c>
      <c r="I9" s="22">
        <f t="shared" si="2"/>
        <v>0.65</v>
      </c>
      <c r="J9" s="18">
        <v>16</v>
      </c>
      <c r="K9" s="22">
        <f t="shared" si="3"/>
        <v>0.8</v>
      </c>
      <c r="L9" s="18">
        <v>13</v>
      </c>
      <c r="M9" s="22">
        <f t="shared" si="4"/>
        <v>0.65</v>
      </c>
      <c r="N9" s="18">
        <v>12</v>
      </c>
      <c r="O9" s="22">
        <f t="shared" si="5"/>
        <v>0.6</v>
      </c>
      <c r="Q9" s="31">
        <f t="shared" si="6"/>
        <v>13.416666666666666</v>
      </c>
      <c r="R9" s="31">
        <v>533</v>
      </c>
      <c r="S9" s="29">
        <f t="shared" si="7"/>
        <v>0.67083333333333339</v>
      </c>
    </row>
    <row r="10" spans="1:19" ht="21.75" customHeight="1" x14ac:dyDescent="0.25">
      <c r="A10" s="41">
        <v>4</v>
      </c>
      <c r="B10" s="42" t="s">
        <v>9</v>
      </c>
      <c r="C10" s="43">
        <v>17</v>
      </c>
      <c r="D10" s="44">
        <v>16</v>
      </c>
      <c r="E10" s="45">
        <f t="shared" si="0"/>
        <v>0.8</v>
      </c>
      <c r="F10" s="44">
        <v>13.5</v>
      </c>
      <c r="G10" s="45">
        <f t="shared" si="1"/>
        <v>0.67500000000000004</v>
      </c>
      <c r="H10" s="44">
        <v>19</v>
      </c>
      <c r="I10" s="45">
        <f t="shared" si="2"/>
        <v>0.95</v>
      </c>
      <c r="J10" s="44">
        <v>16</v>
      </c>
      <c r="K10" s="45">
        <f t="shared" si="3"/>
        <v>0.8</v>
      </c>
      <c r="L10" s="44">
        <v>11</v>
      </c>
      <c r="M10" s="45">
        <f t="shared" si="4"/>
        <v>0.55000000000000004</v>
      </c>
      <c r="N10" s="44">
        <v>6</v>
      </c>
      <c r="O10" s="45">
        <f t="shared" si="5"/>
        <v>0.3</v>
      </c>
      <c r="Q10" s="46">
        <f t="shared" si="6"/>
        <v>13.583333333333334</v>
      </c>
      <c r="R10" s="46">
        <v>540</v>
      </c>
      <c r="S10" s="47">
        <f t="shared" si="7"/>
        <v>0.67916666666666659</v>
      </c>
    </row>
    <row r="11" spans="1:19" ht="21.75" customHeight="1" x14ac:dyDescent="0.25">
      <c r="A11" s="8">
        <v>5</v>
      </c>
      <c r="B11" s="9" t="s">
        <v>10</v>
      </c>
      <c r="C11" s="17">
        <v>16</v>
      </c>
      <c r="D11" s="19">
        <v>18</v>
      </c>
      <c r="E11" s="23">
        <f t="shared" si="0"/>
        <v>0.9</v>
      </c>
      <c r="F11" s="19">
        <v>14</v>
      </c>
      <c r="G11" s="23">
        <f t="shared" si="1"/>
        <v>0.7</v>
      </c>
      <c r="H11" s="19">
        <v>18</v>
      </c>
      <c r="I11" s="23">
        <f t="shared" si="2"/>
        <v>0.9</v>
      </c>
      <c r="J11" s="19">
        <v>18</v>
      </c>
      <c r="K11" s="23">
        <f t="shared" si="3"/>
        <v>0.9</v>
      </c>
      <c r="L11" s="19">
        <v>19</v>
      </c>
      <c r="M11" s="23">
        <f t="shared" si="4"/>
        <v>0.95</v>
      </c>
      <c r="N11" s="19">
        <v>13</v>
      </c>
      <c r="O11" s="23">
        <f t="shared" si="5"/>
        <v>0.65</v>
      </c>
      <c r="Q11" s="32">
        <f t="shared" si="6"/>
        <v>16.666666666666668</v>
      </c>
      <c r="R11" s="32">
        <v>620</v>
      </c>
      <c r="S11" s="30">
        <f t="shared" si="7"/>
        <v>0.83333333333333337</v>
      </c>
    </row>
    <row r="12" spans="1:19" ht="12" customHeight="1" x14ac:dyDescent="0.25">
      <c r="B12" s="56"/>
      <c r="C12" s="56"/>
      <c r="D12" s="2"/>
      <c r="O12" s="11"/>
    </row>
    <row r="13" spans="1:19" ht="21" customHeight="1" x14ac:dyDescent="0.25">
      <c r="A13" s="55" t="s">
        <v>4</v>
      </c>
      <c r="B13" s="55"/>
      <c r="C13" s="55"/>
      <c r="D13" s="49">
        <f>AVERAGE(D7:D11)</f>
        <v>16.600000000000001</v>
      </c>
      <c r="E13" s="50">
        <f t="shared" ref="E13:O13" si="8">AVERAGE(E7:E11)</f>
        <v>0.83000000000000007</v>
      </c>
      <c r="F13" s="49">
        <f t="shared" si="8"/>
        <v>12.2</v>
      </c>
      <c r="G13" s="50">
        <f t="shared" si="8"/>
        <v>0.61</v>
      </c>
      <c r="H13" s="49">
        <f t="shared" si="8"/>
        <v>16.399999999999999</v>
      </c>
      <c r="I13" s="50">
        <f t="shared" si="8"/>
        <v>0.82000000000000006</v>
      </c>
      <c r="J13" s="49">
        <f t="shared" si="8"/>
        <v>16.600000000000001</v>
      </c>
      <c r="K13" s="50">
        <f t="shared" si="8"/>
        <v>0.83000000000000007</v>
      </c>
      <c r="L13" s="49">
        <f t="shared" si="8"/>
        <v>14</v>
      </c>
      <c r="M13" s="50">
        <f t="shared" si="8"/>
        <v>0.7</v>
      </c>
      <c r="N13" s="49">
        <f t="shared" si="8"/>
        <v>11.4</v>
      </c>
      <c r="O13" s="50">
        <f t="shared" si="8"/>
        <v>0.56999999999999995</v>
      </c>
      <c r="Q13" s="51">
        <f>AVERAGE(Q7:Q11)</f>
        <v>14.533333333333335</v>
      </c>
      <c r="R13" s="51">
        <f>AVERAGE(R7:R11)</f>
        <v>555.64</v>
      </c>
      <c r="S13" s="52">
        <f>AVERAGE(S7:S11)</f>
        <v>0.72666666666666668</v>
      </c>
    </row>
    <row r="14" spans="1:19" s="38" customFormat="1" ht="21" customHeight="1" x14ac:dyDescent="0.25">
      <c r="A14" s="21"/>
      <c r="B14" s="35"/>
      <c r="C14" s="35"/>
      <c r="D14" s="36"/>
      <c r="E14" s="37"/>
      <c r="F14" s="36"/>
      <c r="G14" s="37"/>
      <c r="H14" s="36"/>
      <c r="I14" s="37"/>
      <c r="J14" s="36"/>
      <c r="K14" s="37"/>
      <c r="L14" s="36"/>
      <c r="M14" s="37"/>
      <c r="N14" s="36"/>
      <c r="O14" s="37"/>
      <c r="Q14" s="39"/>
      <c r="R14" s="39"/>
      <c r="S14" s="40"/>
    </row>
  </sheetData>
  <mergeCells count="19">
    <mergeCell ref="A1:S1"/>
    <mergeCell ref="R5:R6"/>
    <mergeCell ref="R3:S3"/>
    <mergeCell ref="N3:Q3"/>
    <mergeCell ref="Q5:Q6"/>
    <mergeCell ref="S5:S6"/>
    <mergeCell ref="F5:G5"/>
    <mergeCell ref="N5:O5"/>
    <mergeCell ref="H5:I5"/>
    <mergeCell ref="J5:K5"/>
    <mergeCell ref="L5:M5"/>
    <mergeCell ref="A13:C13"/>
    <mergeCell ref="B12:C12"/>
    <mergeCell ref="A3:B3"/>
    <mergeCell ref="C3:E3"/>
    <mergeCell ref="D5:E5"/>
    <mergeCell ref="C5:C6"/>
    <mergeCell ref="B5:B6"/>
    <mergeCell ref="A5:A6"/>
  </mergeCells>
  <printOptions horizontalCentered="1"/>
  <pageMargins left="0.59055118110236227" right="0.59055118110236227" top="0.59055118110236227" bottom="0.59055118110236227" header="0.31496062992125984" footer="0.31496062992125984"/>
  <pageSetup paperSize="9" scale="8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2016-01-30T20:00:56Z</dcterms:modified>
</cp:coreProperties>
</file>