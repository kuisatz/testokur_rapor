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definedNames>
    <definedName name="_xlnm.Print_Area" localSheetId="0">Sayfa1!$A$1:$K$39</definedName>
  </definedNames>
  <calcPr calcId="152511"/>
</workbook>
</file>

<file path=xl/calcChain.xml><?xml version="1.0" encoding="utf-8"?>
<calcChain xmlns="http://schemas.openxmlformats.org/spreadsheetml/2006/main">
  <c r="K19" i="1" l="1"/>
  <c r="K18" i="1"/>
  <c r="K17" i="1"/>
  <c r="K16" i="1"/>
  <c r="K15" i="1"/>
  <c r="K14" i="1"/>
  <c r="K13" i="1"/>
  <c r="K12" i="1"/>
  <c r="K11" i="1"/>
  <c r="K10" i="1"/>
  <c r="K9" i="1"/>
  <c r="K8" i="1"/>
  <c r="K7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H21" i="1" l="1"/>
  <c r="G21" i="1"/>
  <c r="F21" i="1" l="1"/>
  <c r="K21" i="1" l="1"/>
  <c r="J21" i="1"/>
  <c r="I21" i="1"/>
</calcChain>
</file>

<file path=xl/comments1.xml><?xml version="1.0" encoding="utf-8"?>
<comments xmlns="http://schemas.openxmlformats.org/spreadsheetml/2006/main">
  <authors>
    <author>Yazar</author>
  </authors>
  <commentList>
    <comment ref="C6" authorId="0" shapeId="0">
      <text>
        <r>
          <rPr>
            <b/>
            <sz val="9"/>
            <color indexed="81"/>
            <rFont val="Tahoma"/>
            <family val="2"/>
            <charset val="162"/>
          </rPr>
          <t>Deneme Sınavları ve Ders Sınavı, Kazanım Kavrama Testleri listelenecek</t>
        </r>
      </text>
    </comment>
    <comment ref="G6" authorId="0" shapeId="0">
      <text>
        <r>
          <rPr>
            <b/>
            <sz val="9"/>
            <color indexed="81"/>
            <rFont val="Tahoma"/>
            <family val="2"/>
            <charset val="162"/>
          </rPr>
          <t>Deneme Sınavı için NET;
Ders Sınavı, Kazanım Kavrama Testi için PUAN yazılacak.</t>
        </r>
      </text>
    </comment>
  </commentList>
</comments>
</file>

<file path=xl/sharedStrings.xml><?xml version="1.0" encoding="utf-8"?>
<sst xmlns="http://schemas.openxmlformats.org/spreadsheetml/2006/main" count="44" uniqueCount="26">
  <si>
    <t>Sıra</t>
  </si>
  <si>
    <t>Sınav Adı</t>
  </si>
  <si>
    <t>Tarih</t>
  </si>
  <si>
    <t>Başarı
(%)</t>
  </si>
  <si>
    <t>Ders</t>
  </si>
  <si>
    <t>Soru
Sayısı</t>
  </si>
  <si>
    <t>ORTALAMA</t>
  </si>
  <si>
    <t>: SOSYAL BİLGİLER</t>
  </si>
  <si>
    <t>SINIF</t>
  </si>
  <si>
    <t>7/A</t>
  </si>
  <si>
    <t>7/B</t>
  </si>
  <si>
    <t>HEPSİ</t>
  </si>
  <si>
    <t>Ortalama
Net</t>
  </si>
  <si>
    <t>Ortalama
Puan</t>
  </si>
  <si>
    <t>Sınıf:</t>
  </si>
  <si>
    <t>Şube:</t>
  </si>
  <si>
    <t>SOSYAL 1. ÜNİTE</t>
  </si>
  <si>
    <t>SOSYAL 2. ÜNİTE</t>
  </si>
  <si>
    <t>SOSYAL 3. ÜNİTE</t>
  </si>
  <si>
    <t>SOSYAL BİLGİLER DERSİ SINAV GEÇMİŞİ</t>
  </si>
  <si>
    <t>1. DENEME SINAVI</t>
  </si>
  <si>
    <t>7/C</t>
  </si>
  <si>
    <t>8/A</t>
  </si>
  <si>
    <t>İNKILAP KONU TESTİ</t>
  </si>
  <si>
    <t>En Düşük
Puan / Net</t>
  </si>
  <si>
    <t>En Yüksek
Puan /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</si>
</sst>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Border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 indent="1"/>
    </xf>
    <xf numFmtId="0" fontId="2" fillId="2" borderId="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/>
    </xf>
    <xf numFmtId="2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164" fontId="1" fillId="0" borderId="9" xfId="0" applyNumberFormat="1" applyFont="1" applyFill="1" applyBorder="1" applyAlignment="1">
      <alignment horizontal="left" vertical="center" indent="1"/>
    </xf>
    <xf numFmtId="1" fontId="0" fillId="0" borderId="7" xfId="0" applyNumberFormat="1" applyFill="1" applyBorder="1" applyAlignment="1">
      <alignment horizontal="center" vertical="center"/>
    </xf>
    <xf numFmtId="2" fontId="0" fillId="0" borderId="7" xfId="0" applyNumberFormat="1" applyFill="1" applyBorder="1" applyAlignment="1">
      <alignment horizontal="center" vertical="center"/>
    </xf>
    <xf numFmtId="165" fontId="0" fillId="0" borderId="8" xfId="0" applyNumberForma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164" fontId="1" fillId="0" borderId="10" xfId="0" applyNumberFormat="1" applyFont="1" applyFill="1" applyBorder="1" applyAlignment="1">
      <alignment horizontal="left" vertical="center" indent="1"/>
    </xf>
    <xf numFmtId="1" fontId="0" fillId="0" borderId="2" xfId="0" applyNumberFormat="1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164" fontId="1" fillId="0" borderId="11" xfId="0" applyNumberFormat="1" applyFont="1" applyFill="1" applyBorder="1" applyAlignment="1">
      <alignment horizontal="left" vertical="center" indent="1"/>
    </xf>
    <xf numFmtId="1" fontId="0" fillId="0" borderId="5" xfId="0" applyNumberFormat="1" applyFill="1" applyBorder="1" applyAlignment="1">
      <alignment horizontal="center" vertical="center"/>
    </xf>
    <xf numFmtId="2" fontId="0" fillId="0" borderId="5" xfId="0" applyNumberFormat="1" applyFill="1" applyBorder="1" applyAlignment="1">
      <alignment horizontal="center" vertical="center"/>
    </xf>
    <xf numFmtId="165" fontId="0" fillId="0" borderId="13" xfId="0" applyNumberForma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164" fontId="1" fillId="3" borderId="10" xfId="0" applyNumberFormat="1" applyFont="1" applyFill="1" applyBorder="1" applyAlignment="1">
      <alignment horizontal="left" vertical="center" indent="1"/>
    </xf>
    <xf numFmtId="1" fontId="0" fillId="3" borderId="2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165" fontId="0" fillId="3" borderId="8" xfId="0" applyNumberFormat="1" applyFill="1" applyBorder="1" applyAlignment="1">
      <alignment horizontal="center" vertical="center"/>
    </xf>
    <xf numFmtId="0" fontId="0" fillId="0" borderId="18" xfId="0" applyFill="1" applyBorder="1" applyAlignment="1">
      <alignment horizontal="left" vertical="center" indent="1"/>
    </xf>
    <xf numFmtId="0" fontId="0" fillId="0" borderId="10" xfId="0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0" fillId="3" borderId="18" xfId="0" applyFill="1" applyBorder="1" applyAlignment="1">
      <alignment horizontal="left" vertical="center" indent="1"/>
    </xf>
    <xf numFmtId="0" fontId="0" fillId="3" borderId="10" xfId="0" applyFill="1" applyBorder="1" applyAlignment="1">
      <alignment horizontal="left" vertical="center" indent="1"/>
    </xf>
    <xf numFmtId="0" fontId="0" fillId="0" borderId="19" xfId="0" applyFill="1" applyBorder="1" applyAlignment="1">
      <alignment horizontal="left" vertical="center" indent="1"/>
    </xf>
    <xf numFmtId="0" fontId="0" fillId="0" borderId="11" xfId="0" applyFill="1" applyBorder="1" applyAlignment="1">
      <alignment horizontal="left" vertical="center" inden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left" vertical="center" indent="1"/>
    </xf>
    <xf numFmtId="0" fontId="0" fillId="0" borderId="17" xfId="0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21"/>
  <sheetViews>
    <sheetView tabSelected="1" zoomScaleNormal="100" workbookViewId="0">
      <selection activeCell="N16" sqref="N16"/>
    </sheetView>
  </sheetViews>
  <sheetFormatPr defaultRowHeight="15" x14ac:dyDescent="0.25"/>
  <cols>
    <col min="1" max="1" width="6.5703125" style="1" customWidth="1"/>
    <col min="2" max="2" width="8.7109375" style="1" customWidth="1"/>
    <col min="3" max="4" width="10.42578125" style="1" customWidth="1"/>
    <col min="5" max="5" width="12.7109375" style="1" customWidth="1"/>
    <col min="6" max="6" width="7.7109375" style="2" customWidth="1"/>
    <col min="7" max="10" width="10.7109375" style="2" customWidth="1"/>
    <col min="11" max="11" width="7.7109375" style="2" customWidth="1"/>
    <col min="12" max="16384" width="9.140625" style="3"/>
  </cols>
  <sheetData>
    <row r="1" spans="1:11" s="13" customFormat="1" ht="31.5" customHeight="1" x14ac:dyDescent="0.25">
      <c r="A1" s="52" t="s">
        <v>19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1" s="13" customFormat="1" ht="12" customHeight="1" x14ac:dyDescent="0.25">
      <c r="A2" s="14"/>
      <c r="B2" s="14"/>
      <c r="C2" s="14"/>
      <c r="D2" s="14"/>
      <c r="E2" s="14"/>
      <c r="F2" s="15"/>
      <c r="G2" s="15"/>
      <c r="H2" s="15"/>
      <c r="I2" s="15"/>
      <c r="J2" s="15"/>
      <c r="K2" s="15"/>
    </row>
    <row r="3" spans="1:11" s="4" customFormat="1" ht="15" customHeight="1" x14ac:dyDescent="0.25">
      <c r="A3" s="45" t="s">
        <v>4</v>
      </c>
      <c r="B3" s="46" t="s">
        <v>7</v>
      </c>
      <c r="C3" s="46"/>
      <c r="D3" s="46"/>
      <c r="E3" s="5"/>
      <c r="F3" s="5"/>
      <c r="G3" s="5"/>
      <c r="H3" s="5"/>
      <c r="J3" s="7" t="s">
        <v>14</v>
      </c>
      <c r="K3" s="16" t="s">
        <v>11</v>
      </c>
    </row>
    <row r="4" spans="1:11" s="4" customFormat="1" ht="15" customHeight="1" x14ac:dyDescent="0.25">
      <c r="A4" s="45"/>
      <c r="B4" s="46"/>
      <c r="C4" s="46"/>
      <c r="D4" s="46"/>
      <c r="E4" s="5"/>
      <c r="F4" s="6"/>
      <c r="G4" s="6"/>
      <c r="H4" s="6"/>
      <c r="J4" s="7" t="s">
        <v>15</v>
      </c>
      <c r="K4" s="16" t="s">
        <v>11</v>
      </c>
    </row>
    <row r="5" spans="1:11" ht="12" customHeight="1" x14ac:dyDescent="0.25"/>
    <row r="6" spans="1:11" s="1" customFormat="1" ht="33.75" customHeight="1" x14ac:dyDescent="0.25">
      <c r="A6" s="8" t="s">
        <v>0</v>
      </c>
      <c r="B6" s="9" t="s">
        <v>8</v>
      </c>
      <c r="C6" s="54" t="s">
        <v>1</v>
      </c>
      <c r="D6" s="55"/>
      <c r="E6" s="8" t="s">
        <v>2</v>
      </c>
      <c r="F6" s="10" t="s">
        <v>5</v>
      </c>
      <c r="G6" s="10" t="s">
        <v>24</v>
      </c>
      <c r="H6" s="10" t="s">
        <v>25</v>
      </c>
      <c r="I6" s="10" t="s">
        <v>12</v>
      </c>
      <c r="J6" s="10" t="s">
        <v>13</v>
      </c>
      <c r="K6" s="10" t="s">
        <v>3</v>
      </c>
    </row>
    <row r="7" spans="1:11" ht="21.75" customHeight="1" x14ac:dyDescent="0.25">
      <c r="A7" s="20">
        <v>1</v>
      </c>
      <c r="B7" s="21" t="s">
        <v>9</v>
      </c>
      <c r="C7" s="56" t="s">
        <v>20</v>
      </c>
      <c r="D7" s="57"/>
      <c r="E7" s="22">
        <v>42328</v>
      </c>
      <c r="F7" s="23">
        <v>20</v>
      </c>
      <c r="G7" s="24">
        <v>4</v>
      </c>
      <c r="H7" s="24">
        <v>18</v>
      </c>
      <c r="I7" s="24">
        <v>12</v>
      </c>
      <c r="J7" s="24">
        <f>(100/F7)*I7</f>
        <v>60</v>
      </c>
      <c r="K7" s="25">
        <f>I7/F7</f>
        <v>0.6</v>
      </c>
    </row>
    <row r="8" spans="1:11" ht="21.75" customHeight="1" x14ac:dyDescent="0.25">
      <c r="A8" s="37">
        <v>2</v>
      </c>
      <c r="B8" s="38" t="s">
        <v>9</v>
      </c>
      <c r="C8" s="48" t="s">
        <v>16</v>
      </c>
      <c r="D8" s="49"/>
      <c r="E8" s="39">
        <v>42329</v>
      </c>
      <c r="F8" s="40">
        <v>13</v>
      </c>
      <c r="G8" s="41">
        <v>10</v>
      </c>
      <c r="H8" s="41">
        <v>100</v>
      </c>
      <c r="I8" s="41">
        <v>8</v>
      </c>
      <c r="J8" s="41">
        <f t="shared" ref="J8:J19" si="0">(100/F8)*I8</f>
        <v>61.53846153846154</v>
      </c>
      <c r="K8" s="42">
        <f t="shared" ref="K8:K19" si="1">I8/F8</f>
        <v>0.61538461538461542</v>
      </c>
    </row>
    <row r="9" spans="1:11" ht="21.75" customHeight="1" x14ac:dyDescent="0.25">
      <c r="A9" s="26">
        <v>3</v>
      </c>
      <c r="B9" s="27" t="s">
        <v>9</v>
      </c>
      <c r="C9" s="43" t="s">
        <v>17</v>
      </c>
      <c r="D9" s="44"/>
      <c r="E9" s="28">
        <v>42330</v>
      </c>
      <c r="F9" s="29">
        <v>16</v>
      </c>
      <c r="G9" s="30">
        <v>35</v>
      </c>
      <c r="H9" s="30">
        <v>100</v>
      </c>
      <c r="I9" s="30">
        <v>11</v>
      </c>
      <c r="J9" s="30">
        <f t="shared" si="0"/>
        <v>68.75</v>
      </c>
      <c r="K9" s="25">
        <f t="shared" si="1"/>
        <v>0.6875</v>
      </c>
    </row>
    <row r="10" spans="1:11" ht="21.75" customHeight="1" x14ac:dyDescent="0.25">
      <c r="A10" s="37">
        <v>4</v>
      </c>
      <c r="B10" s="38" t="s">
        <v>9</v>
      </c>
      <c r="C10" s="48" t="s">
        <v>18</v>
      </c>
      <c r="D10" s="49"/>
      <c r="E10" s="39">
        <v>42262</v>
      </c>
      <c r="F10" s="40">
        <v>14</v>
      </c>
      <c r="G10" s="41">
        <v>40</v>
      </c>
      <c r="H10" s="41">
        <v>85</v>
      </c>
      <c r="I10" s="41">
        <v>13</v>
      </c>
      <c r="J10" s="41">
        <f t="shared" si="0"/>
        <v>92.857142857142861</v>
      </c>
      <c r="K10" s="42">
        <f t="shared" si="1"/>
        <v>0.9285714285714286</v>
      </c>
    </row>
    <row r="11" spans="1:11" ht="21.75" customHeight="1" x14ac:dyDescent="0.25">
      <c r="A11" s="26">
        <v>5</v>
      </c>
      <c r="B11" s="27" t="s">
        <v>10</v>
      </c>
      <c r="C11" s="43" t="s">
        <v>20</v>
      </c>
      <c r="D11" s="44"/>
      <c r="E11" s="28">
        <v>42328</v>
      </c>
      <c r="F11" s="29">
        <v>20</v>
      </c>
      <c r="G11" s="30">
        <v>2</v>
      </c>
      <c r="H11" s="30">
        <v>16</v>
      </c>
      <c r="I11" s="30">
        <v>16</v>
      </c>
      <c r="J11" s="30">
        <f t="shared" si="0"/>
        <v>80</v>
      </c>
      <c r="K11" s="25">
        <f t="shared" si="1"/>
        <v>0.8</v>
      </c>
    </row>
    <row r="12" spans="1:11" ht="21.75" customHeight="1" x14ac:dyDescent="0.25">
      <c r="A12" s="37">
        <v>6</v>
      </c>
      <c r="B12" s="38" t="s">
        <v>10</v>
      </c>
      <c r="C12" s="48" t="s">
        <v>16</v>
      </c>
      <c r="D12" s="49"/>
      <c r="E12" s="39">
        <v>42329</v>
      </c>
      <c r="F12" s="40">
        <v>13</v>
      </c>
      <c r="G12" s="41">
        <v>45</v>
      </c>
      <c r="H12" s="41">
        <v>80</v>
      </c>
      <c r="I12" s="41">
        <v>9</v>
      </c>
      <c r="J12" s="41">
        <f t="shared" si="0"/>
        <v>69.230769230769226</v>
      </c>
      <c r="K12" s="42">
        <f t="shared" si="1"/>
        <v>0.69230769230769229</v>
      </c>
    </row>
    <row r="13" spans="1:11" ht="21.75" customHeight="1" x14ac:dyDescent="0.25">
      <c r="A13" s="26">
        <v>7</v>
      </c>
      <c r="B13" s="27" t="s">
        <v>10</v>
      </c>
      <c r="C13" s="43" t="s">
        <v>17</v>
      </c>
      <c r="D13" s="44"/>
      <c r="E13" s="28">
        <v>42330</v>
      </c>
      <c r="F13" s="29">
        <v>16</v>
      </c>
      <c r="G13" s="30">
        <v>60</v>
      </c>
      <c r="H13" s="30">
        <v>83</v>
      </c>
      <c r="I13" s="30">
        <v>11</v>
      </c>
      <c r="J13" s="30">
        <f t="shared" si="0"/>
        <v>68.75</v>
      </c>
      <c r="K13" s="25">
        <f t="shared" si="1"/>
        <v>0.6875</v>
      </c>
    </row>
    <row r="14" spans="1:11" ht="21.75" customHeight="1" x14ac:dyDescent="0.25">
      <c r="A14" s="37">
        <v>8</v>
      </c>
      <c r="B14" s="38" t="s">
        <v>10</v>
      </c>
      <c r="C14" s="48" t="s">
        <v>18</v>
      </c>
      <c r="D14" s="49"/>
      <c r="E14" s="39">
        <v>42262</v>
      </c>
      <c r="F14" s="40">
        <v>14</v>
      </c>
      <c r="G14" s="41">
        <v>70</v>
      </c>
      <c r="H14" s="41">
        <v>95</v>
      </c>
      <c r="I14" s="41">
        <v>12</v>
      </c>
      <c r="J14" s="41">
        <f t="shared" si="0"/>
        <v>85.714285714285722</v>
      </c>
      <c r="K14" s="42">
        <f t="shared" si="1"/>
        <v>0.8571428571428571</v>
      </c>
    </row>
    <row r="15" spans="1:11" ht="21.75" customHeight="1" x14ac:dyDescent="0.25">
      <c r="A15" s="26">
        <v>9</v>
      </c>
      <c r="B15" s="27" t="s">
        <v>21</v>
      </c>
      <c r="C15" s="43" t="s">
        <v>20</v>
      </c>
      <c r="D15" s="44"/>
      <c r="E15" s="28">
        <v>42328</v>
      </c>
      <c r="F15" s="29">
        <v>20</v>
      </c>
      <c r="G15" s="30">
        <v>7</v>
      </c>
      <c r="H15" s="30">
        <v>20</v>
      </c>
      <c r="I15" s="30">
        <v>18</v>
      </c>
      <c r="J15" s="30">
        <f t="shared" si="0"/>
        <v>90</v>
      </c>
      <c r="K15" s="25">
        <f t="shared" si="1"/>
        <v>0.9</v>
      </c>
    </row>
    <row r="16" spans="1:11" ht="21.75" customHeight="1" x14ac:dyDescent="0.25">
      <c r="A16" s="37">
        <v>10</v>
      </c>
      <c r="B16" s="38" t="s">
        <v>21</v>
      </c>
      <c r="C16" s="48" t="s">
        <v>16</v>
      </c>
      <c r="D16" s="49"/>
      <c r="E16" s="39">
        <v>42329</v>
      </c>
      <c r="F16" s="40">
        <v>13</v>
      </c>
      <c r="G16" s="41">
        <v>43</v>
      </c>
      <c r="H16" s="41">
        <v>100</v>
      </c>
      <c r="I16" s="41">
        <v>11.5</v>
      </c>
      <c r="J16" s="41">
        <f t="shared" si="0"/>
        <v>88.461538461538467</v>
      </c>
      <c r="K16" s="42">
        <f t="shared" si="1"/>
        <v>0.88461538461538458</v>
      </c>
    </row>
    <row r="17" spans="1:11" ht="21.75" customHeight="1" x14ac:dyDescent="0.25">
      <c r="A17" s="26">
        <v>11</v>
      </c>
      <c r="B17" s="27" t="s">
        <v>21</v>
      </c>
      <c r="C17" s="43" t="s">
        <v>17</v>
      </c>
      <c r="D17" s="44"/>
      <c r="E17" s="28">
        <v>42330</v>
      </c>
      <c r="F17" s="29">
        <v>16</v>
      </c>
      <c r="G17" s="30">
        <v>54</v>
      </c>
      <c r="H17" s="30">
        <v>100</v>
      </c>
      <c r="I17" s="30">
        <v>11</v>
      </c>
      <c r="J17" s="30">
        <f t="shared" si="0"/>
        <v>68.75</v>
      </c>
      <c r="K17" s="25">
        <f t="shared" si="1"/>
        <v>0.6875</v>
      </c>
    </row>
    <row r="18" spans="1:11" ht="21.75" customHeight="1" x14ac:dyDescent="0.25">
      <c r="A18" s="37">
        <v>12</v>
      </c>
      <c r="B18" s="38" t="s">
        <v>21</v>
      </c>
      <c r="C18" s="48" t="s">
        <v>18</v>
      </c>
      <c r="D18" s="49"/>
      <c r="E18" s="39">
        <v>42262</v>
      </c>
      <c r="F18" s="40">
        <v>14</v>
      </c>
      <c r="G18" s="41">
        <v>62</v>
      </c>
      <c r="H18" s="41">
        <v>85</v>
      </c>
      <c r="I18" s="41">
        <v>13</v>
      </c>
      <c r="J18" s="41">
        <f t="shared" si="0"/>
        <v>92.857142857142861</v>
      </c>
      <c r="K18" s="42">
        <f t="shared" si="1"/>
        <v>0.9285714285714286</v>
      </c>
    </row>
    <row r="19" spans="1:11" ht="21.75" customHeight="1" x14ac:dyDescent="0.25">
      <c r="A19" s="31">
        <v>13</v>
      </c>
      <c r="B19" s="32" t="s">
        <v>22</v>
      </c>
      <c r="C19" s="50" t="s">
        <v>23</v>
      </c>
      <c r="D19" s="51"/>
      <c r="E19" s="33">
        <v>42329</v>
      </c>
      <c r="F19" s="34">
        <v>28</v>
      </c>
      <c r="G19" s="35">
        <v>71</v>
      </c>
      <c r="H19" s="35">
        <v>98</v>
      </c>
      <c r="I19" s="35">
        <v>21</v>
      </c>
      <c r="J19" s="35">
        <f t="shared" si="0"/>
        <v>75</v>
      </c>
      <c r="K19" s="36">
        <f t="shared" si="1"/>
        <v>0.75</v>
      </c>
    </row>
    <row r="20" spans="1:11" ht="9" customHeight="1" x14ac:dyDescent="0.25">
      <c r="D20" s="47"/>
      <c r="E20" s="47"/>
      <c r="G20" s="17"/>
      <c r="H20" s="17"/>
      <c r="K20" s="18"/>
    </row>
    <row r="21" spans="1:11" ht="19.5" customHeight="1" x14ac:dyDescent="0.25">
      <c r="D21" s="3"/>
      <c r="E21" s="11" t="s">
        <v>6</v>
      </c>
      <c r="F21" s="12">
        <f t="shared" ref="F21:J21" si="2">AVERAGE(F7:F19)</f>
        <v>16.692307692307693</v>
      </c>
      <c r="G21" s="12">
        <f>AVERAGE(H7:H19)</f>
        <v>75.384615384615387</v>
      </c>
      <c r="H21" s="12">
        <f>AVERAGE(I7:I19)</f>
        <v>12.807692307692308</v>
      </c>
      <c r="I21" s="12">
        <f t="shared" si="2"/>
        <v>12.807692307692308</v>
      </c>
      <c r="J21" s="12">
        <f t="shared" si="2"/>
        <v>77.069949281487752</v>
      </c>
      <c r="K21" s="19">
        <f>AVERAGE(K7:K19)</f>
        <v>0.77069949281487748</v>
      </c>
    </row>
  </sheetData>
  <mergeCells count="18">
    <mergeCell ref="A1:K1"/>
    <mergeCell ref="C6:D6"/>
    <mergeCell ref="C7:D7"/>
    <mergeCell ref="C8:D8"/>
    <mergeCell ref="C9:D9"/>
    <mergeCell ref="C13:D13"/>
    <mergeCell ref="C15:D15"/>
    <mergeCell ref="A3:A4"/>
    <mergeCell ref="B3:D4"/>
    <mergeCell ref="D20:E20"/>
    <mergeCell ref="C10:D10"/>
    <mergeCell ref="C14:D14"/>
    <mergeCell ref="C16:D16"/>
    <mergeCell ref="C17:D17"/>
    <mergeCell ref="C18:D18"/>
    <mergeCell ref="C19:D19"/>
    <mergeCell ref="C11:D11"/>
    <mergeCell ref="C12:D12"/>
  </mergeCells>
  <printOptions horizontalCentered="1"/>
  <pageMargins left="0.59055118110236227" right="0.59055118110236227" top="0.74803149606299213" bottom="0.74803149606299213" header="0.31496062992125984" footer="0.31496062992125984"/>
  <pageSetup paperSize="9" scale="84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2016-01-30T19:15:11Z</dcterms:modified>
</cp:coreProperties>
</file>