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2" r:id="rId1"/>
  </sheets>
  <calcPr calcId="152511"/>
</workbook>
</file>

<file path=xl/calcChain.xml><?xml version="1.0" encoding="utf-8"?>
<calcChain xmlns="http://schemas.openxmlformats.org/spreadsheetml/2006/main">
  <c r="Q28" i="2" l="1"/>
  <c r="P28" i="2"/>
  <c r="N28" i="2"/>
  <c r="L28" i="2"/>
  <c r="J28" i="2"/>
  <c r="H28" i="2"/>
  <c r="F28" i="2"/>
  <c r="D28" i="2"/>
  <c r="Q27" i="2"/>
  <c r="P27" i="2"/>
  <c r="N27" i="2"/>
  <c r="L27" i="2"/>
  <c r="J27" i="2"/>
  <c r="H27" i="2"/>
  <c r="F27" i="2"/>
  <c r="D27" i="2"/>
  <c r="Q26" i="2"/>
  <c r="P26" i="2"/>
  <c r="N26" i="2"/>
  <c r="L26" i="2"/>
  <c r="J26" i="2"/>
  <c r="H26" i="2"/>
  <c r="F26" i="2"/>
  <c r="D26" i="2"/>
  <c r="Q25" i="2"/>
  <c r="P25" i="2"/>
  <c r="N25" i="2"/>
  <c r="L25" i="2"/>
  <c r="J25" i="2"/>
  <c r="H25" i="2"/>
  <c r="F25" i="2"/>
  <c r="D25" i="2"/>
  <c r="Q24" i="2"/>
  <c r="P24" i="2"/>
  <c r="N24" i="2"/>
  <c r="L24" i="2"/>
  <c r="J24" i="2"/>
  <c r="H24" i="2"/>
  <c r="F24" i="2"/>
  <c r="D24" i="2"/>
  <c r="Q23" i="2"/>
  <c r="P23" i="2"/>
  <c r="N23" i="2"/>
  <c r="L23" i="2"/>
  <c r="J23" i="2"/>
  <c r="H23" i="2"/>
  <c r="F23" i="2"/>
  <c r="D23" i="2"/>
  <c r="Q22" i="2"/>
  <c r="P22" i="2"/>
  <c r="N22" i="2"/>
  <c r="L22" i="2"/>
  <c r="J22" i="2"/>
  <c r="H22" i="2"/>
  <c r="F22" i="2"/>
  <c r="D22" i="2"/>
  <c r="Q21" i="2"/>
  <c r="P21" i="2"/>
  <c r="N21" i="2"/>
  <c r="L21" i="2"/>
  <c r="J21" i="2"/>
  <c r="H21" i="2"/>
  <c r="F21" i="2"/>
  <c r="D21" i="2"/>
  <c r="Q20" i="2"/>
  <c r="P20" i="2"/>
  <c r="N20" i="2"/>
  <c r="L20" i="2"/>
  <c r="J20" i="2"/>
  <c r="H20" i="2"/>
  <c r="F20" i="2"/>
  <c r="D20" i="2"/>
  <c r="Q19" i="2"/>
  <c r="P19" i="2"/>
  <c r="N19" i="2"/>
  <c r="L19" i="2"/>
  <c r="J19" i="2"/>
  <c r="H19" i="2"/>
  <c r="F19" i="2"/>
  <c r="D19" i="2"/>
  <c r="P10" i="2" l="1"/>
  <c r="P11" i="2"/>
  <c r="P12" i="2"/>
  <c r="P13" i="2"/>
  <c r="P14" i="2"/>
  <c r="P15" i="2"/>
  <c r="P16" i="2"/>
  <c r="P17" i="2"/>
  <c r="P18" i="2"/>
  <c r="N10" i="2"/>
  <c r="N11" i="2"/>
  <c r="N12" i="2"/>
  <c r="N13" i="2"/>
  <c r="N14" i="2"/>
  <c r="N15" i="2"/>
  <c r="N16" i="2"/>
  <c r="N17" i="2"/>
  <c r="N18" i="2"/>
  <c r="P9" i="2"/>
  <c r="N9" i="2"/>
  <c r="L10" i="2"/>
  <c r="L11" i="2"/>
  <c r="L12" i="2"/>
  <c r="L13" i="2"/>
  <c r="L14" i="2"/>
  <c r="L15" i="2"/>
  <c r="L16" i="2"/>
  <c r="L17" i="2"/>
  <c r="L18" i="2"/>
  <c r="L9" i="2"/>
  <c r="J10" i="2"/>
  <c r="J11" i="2"/>
  <c r="J12" i="2"/>
  <c r="J13" i="2"/>
  <c r="J14" i="2"/>
  <c r="J15" i="2"/>
  <c r="J16" i="2"/>
  <c r="J17" i="2"/>
  <c r="J18" i="2"/>
  <c r="J9" i="2"/>
  <c r="H10" i="2"/>
  <c r="H11" i="2"/>
  <c r="H12" i="2"/>
  <c r="H13" i="2"/>
  <c r="H14" i="2"/>
  <c r="H15" i="2"/>
  <c r="H16" i="2"/>
  <c r="H17" i="2"/>
  <c r="H18" i="2"/>
  <c r="H9" i="2"/>
  <c r="F10" i="2"/>
  <c r="F11" i="2"/>
  <c r="F12" i="2"/>
  <c r="F13" i="2"/>
  <c r="F14" i="2"/>
  <c r="F15" i="2"/>
  <c r="F16" i="2"/>
  <c r="F17" i="2"/>
  <c r="F18" i="2"/>
  <c r="F9" i="2"/>
  <c r="D10" i="2"/>
  <c r="D11" i="2"/>
  <c r="D12" i="2"/>
  <c r="D13" i="2"/>
  <c r="D14" i="2"/>
  <c r="D15" i="2"/>
  <c r="D16" i="2"/>
  <c r="D17" i="2"/>
  <c r="D18" i="2"/>
  <c r="D9" i="2"/>
  <c r="Q10" i="2" l="1"/>
  <c r="Q11" i="2"/>
  <c r="Q12" i="2"/>
  <c r="Q13" i="2"/>
  <c r="Q14" i="2"/>
  <c r="Q15" i="2"/>
  <c r="Q16" i="2"/>
  <c r="Q17" i="2"/>
  <c r="Q18" i="2"/>
  <c r="Q9" i="2"/>
</calcChain>
</file>

<file path=xl/comments1.xml><?xml version="1.0" encoding="utf-8"?>
<comments xmlns="http://schemas.openxmlformats.org/spreadsheetml/2006/main">
  <authors>
    <author>Yazar</author>
  </authors>
  <commentList>
    <comment ref="L10" authorId="0" shapeId="0">
      <text>
        <r>
          <rPr>
            <b/>
            <sz val="9"/>
            <color indexed="81"/>
            <rFont val="Tahoma"/>
            <family val="2"/>
            <charset val="162"/>
          </rPr>
          <t>Buradaki yüzdelerde ondalıklı değerler olmayacak.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  <charset val="162"/>
          </rPr>
          <t>Soruyu sınavda doğru cevaplandırma oranıdır.
%50 ve üzeri yeşil olarak;
%49 ve altı kırmızı olarak dereceli dolgu şeklinde belirtilecek.
Ve yüzdelik değerler ondalık değer almayacak</t>
        </r>
      </text>
    </comment>
    <comment ref="V13" authorId="0" shapeId="0">
      <text>
        <r>
          <rPr>
            <b/>
            <sz val="9"/>
            <color indexed="81"/>
            <rFont val="Tahoma"/>
            <family val="2"/>
            <charset val="162"/>
          </rPr>
          <t>Eğer konu/kazanım girilmişse burada yer alacak, girmemişse boş kalacak.</t>
        </r>
      </text>
    </comment>
  </commentList>
</comments>
</file>

<file path=xl/sharedStrings.xml><?xml version="1.0" encoding="utf-8"?>
<sst xmlns="http://schemas.openxmlformats.org/spreadsheetml/2006/main" count="77" uniqueCount="33">
  <si>
    <t>Ders Adı</t>
  </si>
  <si>
    <t>SOSYAL BİLGİLER</t>
  </si>
  <si>
    <t>Sınıf :</t>
  </si>
  <si>
    <t>Sınav Adı</t>
  </si>
  <si>
    <t>1. DENEME SINAVI</t>
  </si>
  <si>
    <t>A</t>
  </si>
  <si>
    <t>Sınav Tarihi</t>
  </si>
  <si>
    <t>Doğru</t>
  </si>
  <si>
    <t>Yanlış</t>
  </si>
  <si>
    <t>Boş</t>
  </si>
  <si>
    <t>Soru</t>
  </si>
  <si>
    <t>Doğru
Cevap</t>
  </si>
  <si>
    <t>B</t>
  </si>
  <si>
    <t>C</t>
  </si>
  <si>
    <t>D</t>
  </si>
  <si>
    <t>Konu / Kazanım</t>
  </si>
  <si>
    <t>Başarı (%)</t>
  </si>
  <si>
    <t>Mustafa Kemal'in kişilik özellikleri</t>
  </si>
  <si>
    <t>M.Kemal'in eğitim hayatı</t>
  </si>
  <si>
    <t>M.Kemal'in görev aldığı yerler</t>
  </si>
  <si>
    <t>I.Dünya Savaşı sonunda imzalanan Mondros Ateşkes Antlaşması karşısında M.Kemal'in ve halkın tutumu</t>
  </si>
  <si>
    <t>I. Dünya Savaşı'nda M.Kemal'in görev aldığı cepheler</t>
  </si>
  <si>
    <t>Disiplin, Çaba ve Zafer: Kafkasya Cephesi</t>
  </si>
  <si>
    <t>Paris Barış Konferansı ve İzmir'in işgali</t>
  </si>
  <si>
    <t>Amiral Bristol Raporu</t>
  </si>
  <si>
    <t>Milli cemiyetler ve Kuva-i Milliye</t>
  </si>
  <si>
    <t>Milli Bilinç Uyanıyor: Havza Genelgesi</t>
  </si>
  <si>
    <t>Sayı</t>
  </si>
  <si>
    <t>(%)</t>
  </si>
  <si>
    <t>Kitapçık Türü :</t>
  </si>
  <si>
    <t>Soru Sayısı :</t>
  </si>
  <si>
    <t>Şube :</t>
  </si>
  <si>
    <t>1. DENEME SINAVI MADDE ANALİZİ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</si>
</sst>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 indent="1"/>
    </xf>
    <xf numFmtId="164" fontId="3" fillId="0" borderId="0" xfId="0" applyNumberFormat="1" applyFont="1" applyBorder="1" applyAlignment="1">
      <alignment horizontal="left" vertical="center" indent="1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/>
    </xf>
    <xf numFmtId="9" fontId="4" fillId="0" borderId="3" xfId="1" applyNumberFormat="1" applyFont="1" applyFill="1" applyBorder="1" applyAlignment="1">
      <alignment horizontal="center" vertical="center"/>
    </xf>
    <xf numFmtId="0" fontId="4" fillId="0" borderId="15" xfId="1" applyFont="1" applyFill="1" applyBorder="1" applyAlignment="1">
      <alignment horizontal="center" vertical="center"/>
    </xf>
    <xf numFmtId="9" fontId="4" fillId="0" borderId="16" xfId="1" applyNumberFormat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/>
    </xf>
    <xf numFmtId="9" fontId="4" fillId="0" borderId="18" xfId="1" applyNumberFormat="1" applyFont="1" applyFill="1" applyBorder="1" applyAlignment="1">
      <alignment horizontal="center" vertical="center"/>
    </xf>
    <xf numFmtId="9" fontId="4" fillId="0" borderId="4" xfId="1" applyNumberFormat="1" applyFont="1" applyFill="1" applyBorder="1" applyAlignment="1">
      <alignment horizontal="center" vertical="center"/>
    </xf>
    <xf numFmtId="9" fontId="4" fillId="0" borderId="7" xfId="1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2" borderId="17" xfId="1" applyFont="1" applyFill="1" applyBorder="1" applyAlignment="1">
      <alignment horizontal="center" vertical="center"/>
    </xf>
    <xf numFmtId="9" fontId="4" fillId="2" borderId="7" xfId="1" applyNumberFormat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9" fontId="4" fillId="2" borderId="18" xfId="1" applyNumberFormat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9" fontId="4" fillId="2" borderId="6" xfId="1" applyNumberFormat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9" fontId="4" fillId="2" borderId="31" xfId="1" applyNumberFormat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9" fontId="4" fillId="2" borderId="21" xfId="1" applyNumberFormat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/>
    </xf>
    <xf numFmtId="9" fontId="4" fillId="2" borderId="20" xfId="1" applyNumberFormat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9" fontId="4" fillId="0" borderId="17" xfId="1" applyNumberFormat="1" applyFont="1" applyBorder="1" applyAlignment="1">
      <alignment horizontal="left" vertical="center"/>
    </xf>
    <xf numFmtId="9" fontId="4" fillId="0" borderId="6" xfId="1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9" fontId="4" fillId="0" borderId="19" xfId="1" applyNumberFormat="1" applyFont="1" applyBorder="1" applyAlignment="1">
      <alignment horizontal="left" vertical="center"/>
    </xf>
    <xf numFmtId="9" fontId="4" fillId="0" borderId="20" xfId="1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indent="1"/>
    </xf>
    <xf numFmtId="164" fontId="3" fillId="0" borderId="0" xfId="0" applyNumberFormat="1" applyFont="1" applyBorder="1" applyAlignment="1">
      <alignment horizontal="left" vertical="center" inden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4" fillId="0" borderId="15" xfId="1" applyNumberFormat="1" applyFont="1" applyBorder="1" applyAlignment="1">
      <alignment horizontal="left" vertical="center"/>
    </xf>
    <xf numFmtId="9" fontId="4" fillId="0" borderId="3" xfId="1" applyNumberFormat="1" applyFont="1" applyBorder="1" applyAlignment="1">
      <alignment horizontal="left" vertical="center"/>
    </xf>
    <xf numFmtId="0" fontId="4" fillId="3" borderId="13" xfId="0" quotePrefix="1" applyFont="1" applyFill="1" applyBorder="1" applyAlignment="1">
      <alignment horizontal="center" vertical="center"/>
    </xf>
    <xf numFmtId="0" fontId="4" fillId="3" borderId="14" xfId="0" quotePrefix="1" applyFont="1" applyFill="1" applyBorder="1" applyAlignment="1">
      <alignment horizontal="center" vertical="center"/>
    </xf>
    <xf numFmtId="0" fontId="4" fillId="3" borderId="28" xfId="0" quotePrefix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ECFF"/>
      <color rgb="FFD2F5FF"/>
      <color rgb="FF99CCFF"/>
      <color rgb="FFA3EDFF"/>
      <color rgb="FFFF0000"/>
      <color rgb="FF00FF00"/>
      <color rgb="FF11A8F3"/>
      <color rgb="FF8FDAFF"/>
      <color rgb="FF96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B28"/>
  <sheetViews>
    <sheetView tabSelected="1" zoomScaleNormal="100" workbookViewId="0">
      <selection activeCell="X5" sqref="X5"/>
    </sheetView>
  </sheetViews>
  <sheetFormatPr defaultRowHeight="15" x14ac:dyDescent="0.25"/>
  <cols>
    <col min="1" max="1" width="5" style="4" bestFit="1" customWidth="1"/>
    <col min="2" max="2" width="6.42578125" style="7" bestFit="1" customWidth="1"/>
    <col min="3" max="3" width="4.7109375" style="8" customWidth="1"/>
    <col min="4" max="4" width="5.5703125" style="10" customWidth="1"/>
    <col min="5" max="5" width="4.7109375" style="4" customWidth="1"/>
    <col min="6" max="6" width="5.5703125" style="4" customWidth="1"/>
    <col min="7" max="7" width="4.7109375" style="4" customWidth="1"/>
    <col min="8" max="8" width="5.5703125" style="4" customWidth="1"/>
    <col min="9" max="9" width="4.7109375" style="4" customWidth="1"/>
    <col min="10" max="10" width="5.5703125" style="4" customWidth="1"/>
    <col min="11" max="11" width="4.7109375" style="4" customWidth="1"/>
    <col min="12" max="12" width="5.5703125" style="4" customWidth="1"/>
    <col min="13" max="13" width="4.7109375" style="4" customWidth="1"/>
    <col min="14" max="14" width="5.5703125" style="4" customWidth="1"/>
    <col min="15" max="15" width="4.7109375" style="4" customWidth="1"/>
    <col min="16" max="16" width="5.5703125" style="4" customWidth="1"/>
    <col min="17" max="17" width="5.7109375" style="4" customWidth="1"/>
    <col min="18" max="21" width="5.7109375" style="1" customWidth="1"/>
    <col min="22" max="28" width="9.7109375" style="1" customWidth="1"/>
    <col min="29" max="16384" width="9.140625" style="1"/>
  </cols>
  <sheetData>
    <row r="1" spans="1:28" ht="23.25" customHeight="1" x14ac:dyDescent="0.25">
      <c r="A1" s="79" t="s">
        <v>32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 spans="1:28" ht="7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" customHeight="1" x14ac:dyDescent="0.25">
      <c r="A3" s="72" t="s">
        <v>0</v>
      </c>
      <c r="B3" s="72"/>
      <c r="C3" s="73" t="s">
        <v>1</v>
      </c>
      <c r="D3" s="73"/>
      <c r="E3" s="73"/>
      <c r="F3" s="73"/>
      <c r="G3" s="73"/>
      <c r="H3" s="73"/>
      <c r="I3" s="73"/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0" t="s">
        <v>2</v>
      </c>
      <c r="Z3" s="4">
        <v>7</v>
      </c>
      <c r="AA3" s="30" t="s">
        <v>31</v>
      </c>
      <c r="AB3" s="4" t="s">
        <v>5</v>
      </c>
    </row>
    <row r="4" spans="1:28" ht="15" customHeight="1" x14ac:dyDescent="0.25">
      <c r="A4" s="72" t="s">
        <v>3</v>
      </c>
      <c r="B4" s="72"/>
      <c r="C4" s="73" t="s">
        <v>4</v>
      </c>
      <c r="D4" s="73"/>
      <c r="E4" s="73"/>
      <c r="F4" s="73"/>
      <c r="G4" s="73"/>
      <c r="H4" s="73"/>
      <c r="I4" s="73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5"/>
      <c r="Z4" s="53" t="s">
        <v>29</v>
      </c>
      <c r="AA4" s="53"/>
      <c r="AB4" s="4" t="s">
        <v>5</v>
      </c>
    </row>
    <row r="5" spans="1:28" ht="15" customHeight="1" x14ac:dyDescent="0.25">
      <c r="A5" s="72" t="s">
        <v>6</v>
      </c>
      <c r="B5" s="72"/>
      <c r="C5" s="74">
        <v>42330</v>
      </c>
      <c r="D5" s="74"/>
      <c r="E5" s="74"/>
      <c r="F5" s="74"/>
      <c r="G5" s="74"/>
      <c r="H5" s="74"/>
      <c r="I5" s="74"/>
      <c r="J5" s="1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Z5" s="53" t="s">
        <v>30</v>
      </c>
      <c r="AA5" s="53"/>
      <c r="AB5" s="4">
        <v>20</v>
      </c>
    </row>
    <row r="6" spans="1:28" ht="8.25" customHeight="1" thickBot="1" x14ac:dyDescent="0.3">
      <c r="A6" s="6"/>
      <c r="Q6" s="3"/>
      <c r="Y6" s="5"/>
      <c r="Z6" s="5"/>
      <c r="AA6" s="5"/>
      <c r="AB6" s="9"/>
    </row>
    <row r="7" spans="1:28" s="7" customFormat="1" ht="18" customHeight="1" x14ac:dyDescent="0.25">
      <c r="A7" s="77" t="s">
        <v>10</v>
      </c>
      <c r="B7" s="75" t="s">
        <v>11</v>
      </c>
      <c r="C7" s="77" t="s">
        <v>5</v>
      </c>
      <c r="D7" s="58"/>
      <c r="E7" s="58" t="s">
        <v>12</v>
      </c>
      <c r="F7" s="58"/>
      <c r="G7" s="55" t="s">
        <v>13</v>
      </c>
      <c r="H7" s="55"/>
      <c r="I7" s="82" t="s">
        <v>14</v>
      </c>
      <c r="J7" s="83"/>
      <c r="K7" s="84" t="s">
        <v>7</v>
      </c>
      <c r="L7" s="82"/>
      <c r="M7" s="82" t="s">
        <v>8</v>
      </c>
      <c r="N7" s="82"/>
      <c r="O7" s="82" t="s">
        <v>9</v>
      </c>
      <c r="P7" s="83"/>
      <c r="Q7" s="54" t="s">
        <v>16</v>
      </c>
      <c r="R7" s="55"/>
      <c r="S7" s="55"/>
      <c r="T7" s="55"/>
      <c r="U7" s="55"/>
      <c r="V7" s="58" t="s">
        <v>15</v>
      </c>
      <c r="W7" s="58"/>
      <c r="X7" s="58"/>
      <c r="Y7" s="58"/>
      <c r="Z7" s="58"/>
      <c r="AA7" s="58"/>
      <c r="AB7" s="59"/>
    </row>
    <row r="8" spans="1:28" s="7" customFormat="1" ht="18" customHeight="1" thickBot="1" x14ac:dyDescent="0.3">
      <c r="A8" s="78"/>
      <c r="B8" s="76"/>
      <c r="C8" s="49" t="s">
        <v>27</v>
      </c>
      <c r="D8" s="50" t="s">
        <v>28</v>
      </c>
      <c r="E8" s="50" t="s">
        <v>27</v>
      </c>
      <c r="F8" s="50" t="s">
        <v>28</v>
      </c>
      <c r="G8" s="50" t="s">
        <v>27</v>
      </c>
      <c r="H8" s="50" t="s">
        <v>28</v>
      </c>
      <c r="I8" s="50" t="s">
        <v>27</v>
      </c>
      <c r="J8" s="51" t="s">
        <v>28</v>
      </c>
      <c r="K8" s="52" t="s">
        <v>27</v>
      </c>
      <c r="L8" s="50" t="s">
        <v>28</v>
      </c>
      <c r="M8" s="50" t="s">
        <v>27</v>
      </c>
      <c r="N8" s="50" t="s">
        <v>28</v>
      </c>
      <c r="O8" s="50" t="s">
        <v>27</v>
      </c>
      <c r="P8" s="51" t="s">
        <v>28</v>
      </c>
      <c r="Q8" s="56"/>
      <c r="R8" s="57"/>
      <c r="S8" s="57"/>
      <c r="T8" s="57"/>
      <c r="U8" s="57"/>
      <c r="V8" s="60"/>
      <c r="W8" s="60"/>
      <c r="X8" s="60"/>
      <c r="Y8" s="60"/>
      <c r="Z8" s="60"/>
      <c r="AA8" s="60"/>
      <c r="AB8" s="61"/>
    </row>
    <row r="9" spans="1:28" ht="24.95" customHeight="1" x14ac:dyDescent="0.25">
      <c r="A9" s="28">
        <v>1</v>
      </c>
      <c r="B9" s="85" t="s">
        <v>5</v>
      </c>
      <c r="C9" s="20">
        <v>10</v>
      </c>
      <c r="D9" s="24">
        <f>C9/$AB$5</f>
        <v>0.5</v>
      </c>
      <c r="E9" s="12">
        <v>5</v>
      </c>
      <c r="F9" s="24">
        <f>E9/$AB$5</f>
        <v>0.25</v>
      </c>
      <c r="G9" s="26">
        <v>2</v>
      </c>
      <c r="H9" s="24">
        <f>G9/$AB$5</f>
        <v>0.1</v>
      </c>
      <c r="I9" s="12">
        <v>1</v>
      </c>
      <c r="J9" s="21">
        <f>I9/$AB$5</f>
        <v>0.05</v>
      </c>
      <c r="K9" s="14">
        <v>10</v>
      </c>
      <c r="L9" s="19">
        <f>K9/$AB$5</f>
        <v>0.5</v>
      </c>
      <c r="M9" s="13">
        <v>8</v>
      </c>
      <c r="N9" s="19">
        <f>M9/$AB$5</f>
        <v>0.4</v>
      </c>
      <c r="O9" s="13">
        <v>2</v>
      </c>
      <c r="P9" s="21">
        <f>O9/$AB$5</f>
        <v>0.1</v>
      </c>
      <c r="Q9" s="80">
        <f>K9/(K9+M9+O9)</f>
        <v>0.5</v>
      </c>
      <c r="R9" s="81"/>
      <c r="S9" s="81"/>
      <c r="T9" s="81"/>
      <c r="U9" s="81"/>
      <c r="V9" s="66" t="s">
        <v>17</v>
      </c>
      <c r="W9" s="66"/>
      <c r="X9" s="66"/>
      <c r="Y9" s="66"/>
      <c r="Z9" s="66"/>
      <c r="AA9" s="66"/>
      <c r="AB9" s="67"/>
    </row>
    <row r="10" spans="1:28" ht="24.95" customHeight="1" x14ac:dyDescent="0.25">
      <c r="A10" s="48">
        <v>2</v>
      </c>
      <c r="B10" s="87" t="s">
        <v>12</v>
      </c>
      <c r="C10" s="31">
        <v>0</v>
      </c>
      <c r="D10" s="32">
        <f t="shared" ref="D10:D18" si="0">C10/$AB$5</f>
        <v>0</v>
      </c>
      <c r="E10" s="33">
        <v>19</v>
      </c>
      <c r="F10" s="32">
        <f t="shared" ref="F10:F18" si="1">E10/$AB$5</f>
        <v>0.95</v>
      </c>
      <c r="G10" s="34">
        <v>1</v>
      </c>
      <c r="H10" s="32">
        <f t="shared" ref="H10:H18" si="2">G10/$AB$5</f>
        <v>0.05</v>
      </c>
      <c r="I10" s="33">
        <v>0</v>
      </c>
      <c r="J10" s="35">
        <f t="shared" ref="J10:J18" si="3">I10/$AB$5</f>
        <v>0</v>
      </c>
      <c r="K10" s="36">
        <v>19</v>
      </c>
      <c r="L10" s="37">
        <f t="shared" ref="L10:L18" si="4">K10/$AB$5</f>
        <v>0.95</v>
      </c>
      <c r="M10" s="38">
        <v>1</v>
      </c>
      <c r="N10" s="37">
        <f t="shared" ref="N10:N18" si="5">M10/$AB$5</f>
        <v>0.05</v>
      </c>
      <c r="O10" s="38">
        <v>0</v>
      </c>
      <c r="P10" s="35">
        <f t="shared" ref="P10:P18" si="6">O10/$AB$5</f>
        <v>0</v>
      </c>
      <c r="Q10" s="62">
        <f t="shared" ref="Q10:Q18" si="7">K10/(K10+M10+O10)</f>
        <v>0.95</v>
      </c>
      <c r="R10" s="63"/>
      <c r="S10" s="63"/>
      <c r="T10" s="63"/>
      <c r="U10" s="63"/>
      <c r="V10" s="64" t="s">
        <v>18</v>
      </c>
      <c r="W10" s="64"/>
      <c r="X10" s="64"/>
      <c r="Y10" s="64"/>
      <c r="Z10" s="64"/>
      <c r="AA10" s="64"/>
      <c r="AB10" s="65"/>
    </row>
    <row r="11" spans="1:28" ht="24.95" customHeight="1" x14ac:dyDescent="0.25">
      <c r="A11" s="29">
        <v>3</v>
      </c>
      <c r="B11" s="86" t="s">
        <v>13</v>
      </c>
      <c r="C11" s="22">
        <v>3</v>
      </c>
      <c r="D11" s="25">
        <f t="shared" si="0"/>
        <v>0.15</v>
      </c>
      <c r="E11" s="15">
        <v>3</v>
      </c>
      <c r="F11" s="25">
        <f t="shared" si="1"/>
        <v>0.15</v>
      </c>
      <c r="G11" s="27">
        <v>12</v>
      </c>
      <c r="H11" s="25">
        <f t="shared" si="2"/>
        <v>0.6</v>
      </c>
      <c r="I11" s="15">
        <v>2</v>
      </c>
      <c r="J11" s="23">
        <f t="shared" si="3"/>
        <v>0.1</v>
      </c>
      <c r="K11" s="17">
        <v>12</v>
      </c>
      <c r="L11" s="18">
        <f t="shared" si="4"/>
        <v>0.6</v>
      </c>
      <c r="M11" s="16">
        <v>8</v>
      </c>
      <c r="N11" s="18">
        <f t="shared" si="5"/>
        <v>0.4</v>
      </c>
      <c r="O11" s="16">
        <v>0</v>
      </c>
      <c r="P11" s="23">
        <f t="shared" si="6"/>
        <v>0</v>
      </c>
      <c r="Q11" s="62">
        <f t="shared" si="7"/>
        <v>0.6</v>
      </c>
      <c r="R11" s="63"/>
      <c r="S11" s="63"/>
      <c r="T11" s="63"/>
      <c r="U11" s="63"/>
      <c r="V11" s="64" t="s">
        <v>19</v>
      </c>
      <c r="W11" s="64"/>
      <c r="X11" s="64"/>
      <c r="Y11" s="64"/>
      <c r="Z11" s="64"/>
      <c r="AA11" s="64"/>
      <c r="AB11" s="65"/>
    </row>
    <row r="12" spans="1:28" ht="24.95" customHeight="1" x14ac:dyDescent="0.25">
      <c r="A12" s="48">
        <v>4</v>
      </c>
      <c r="B12" s="87" t="s">
        <v>14</v>
      </c>
      <c r="C12" s="31">
        <v>5</v>
      </c>
      <c r="D12" s="32">
        <f t="shared" si="0"/>
        <v>0.25</v>
      </c>
      <c r="E12" s="33">
        <v>5</v>
      </c>
      <c r="F12" s="32">
        <f t="shared" si="1"/>
        <v>0.25</v>
      </c>
      <c r="G12" s="34">
        <v>5</v>
      </c>
      <c r="H12" s="32">
        <f t="shared" si="2"/>
        <v>0.25</v>
      </c>
      <c r="I12" s="33">
        <v>5</v>
      </c>
      <c r="J12" s="35">
        <f t="shared" si="3"/>
        <v>0.25</v>
      </c>
      <c r="K12" s="36">
        <v>5</v>
      </c>
      <c r="L12" s="37">
        <f t="shared" si="4"/>
        <v>0.25</v>
      </c>
      <c r="M12" s="38">
        <v>15</v>
      </c>
      <c r="N12" s="37">
        <f t="shared" si="5"/>
        <v>0.75</v>
      </c>
      <c r="O12" s="38">
        <v>0</v>
      </c>
      <c r="P12" s="35">
        <f t="shared" si="6"/>
        <v>0</v>
      </c>
      <c r="Q12" s="62">
        <f t="shared" si="7"/>
        <v>0.25</v>
      </c>
      <c r="R12" s="63"/>
      <c r="S12" s="63"/>
      <c r="T12" s="63"/>
      <c r="U12" s="63"/>
      <c r="V12" s="64" t="s">
        <v>20</v>
      </c>
      <c r="W12" s="64"/>
      <c r="X12" s="64"/>
      <c r="Y12" s="64"/>
      <c r="Z12" s="64"/>
      <c r="AA12" s="64"/>
      <c r="AB12" s="65"/>
    </row>
    <row r="13" spans="1:28" ht="24.95" customHeight="1" x14ac:dyDescent="0.25">
      <c r="A13" s="29">
        <v>5</v>
      </c>
      <c r="B13" s="86" t="s">
        <v>5</v>
      </c>
      <c r="C13" s="22">
        <v>13</v>
      </c>
      <c r="D13" s="25">
        <f t="shared" si="0"/>
        <v>0.65</v>
      </c>
      <c r="E13" s="15">
        <v>2</v>
      </c>
      <c r="F13" s="25">
        <f t="shared" si="1"/>
        <v>0.1</v>
      </c>
      <c r="G13" s="27">
        <v>3</v>
      </c>
      <c r="H13" s="25">
        <f t="shared" si="2"/>
        <v>0.15</v>
      </c>
      <c r="I13" s="15">
        <v>2</v>
      </c>
      <c r="J13" s="23">
        <f t="shared" si="3"/>
        <v>0.1</v>
      </c>
      <c r="K13" s="17">
        <v>13</v>
      </c>
      <c r="L13" s="18">
        <f t="shared" si="4"/>
        <v>0.65</v>
      </c>
      <c r="M13" s="16">
        <v>7</v>
      </c>
      <c r="N13" s="18">
        <f t="shared" si="5"/>
        <v>0.35</v>
      </c>
      <c r="O13" s="16">
        <v>0</v>
      </c>
      <c r="P13" s="23">
        <f t="shared" si="6"/>
        <v>0</v>
      </c>
      <c r="Q13" s="62">
        <f t="shared" si="7"/>
        <v>0.65</v>
      </c>
      <c r="R13" s="63"/>
      <c r="S13" s="63"/>
      <c r="T13" s="63"/>
      <c r="U13" s="63"/>
      <c r="V13" s="64" t="s">
        <v>21</v>
      </c>
      <c r="W13" s="64"/>
      <c r="X13" s="64"/>
      <c r="Y13" s="64"/>
      <c r="Z13" s="64"/>
      <c r="AA13" s="64"/>
      <c r="AB13" s="65"/>
    </row>
    <row r="14" spans="1:28" ht="24.95" customHeight="1" x14ac:dyDescent="0.25">
      <c r="A14" s="48">
        <v>6</v>
      </c>
      <c r="B14" s="87" t="s">
        <v>12</v>
      </c>
      <c r="C14" s="31">
        <v>4</v>
      </c>
      <c r="D14" s="32">
        <f t="shared" si="0"/>
        <v>0.2</v>
      </c>
      <c r="E14" s="33">
        <v>15</v>
      </c>
      <c r="F14" s="32">
        <f t="shared" si="1"/>
        <v>0.75</v>
      </c>
      <c r="G14" s="34">
        <v>0</v>
      </c>
      <c r="H14" s="32">
        <f t="shared" si="2"/>
        <v>0</v>
      </c>
      <c r="I14" s="33">
        <v>0</v>
      </c>
      <c r="J14" s="35">
        <f t="shared" si="3"/>
        <v>0</v>
      </c>
      <c r="K14" s="36">
        <v>15</v>
      </c>
      <c r="L14" s="37">
        <f t="shared" si="4"/>
        <v>0.75</v>
      </c>
      <c r="M14" s="38">
        <v>4</v>
      </c>
      <c r="N14" s="37">
        <f t="shared" si="5"/>
        <v>0.2</v>
      </c>
      <c r="O14" s="38">
        <v>1</v>
      </c>
      <c r="P14" s="35">
        <f t="shared" si="6"/>
        <v>0.05</v>
      </c>
      <c r="Q14" s="62">
        <f t="shared" si="7"/>
        <v>0.75</v>
      </c>
      <c r="R14" s="63"/>
      <c r="S14" s="63"/>
      <c r="T14" s="63"/>
      <c r="U14" s="63"/>
      <c r="V14" s="64" t="s">
        <v>22</v>
      </c>
      <c r="W14" s="64"/>
      <c r="X14" s="64"/>
      <c r="Y14" s="64"/>
      <c r="Z14" s="64"/>
      <c r="AA14" s="64"/>
      <c r="AB14" s="65"/>
    </row>
    <row r="15" spans="1:28" ht="24.95" customHeight="1" x14ac:dyDescent="0.25">
      <c r="A15" s="29">
        <v>7</v>
      </c>
      <c r="B15" s="86" t="s">
        <v>13</v>
      </c>
      <c r="C15" s="22">
        <v>2</v>
      </c>
      <c r="D15" s="25">
        <f t="shared" si="0"/>
        <v>0.1</v>
      </c>
      <c r="E15" s="15">
        <v>7</v>
      </c>
      <c r="F15" s="25">
        <f t="shared" si="1"/>
        <v>0.35</v>
      </c>
      <c r="G15" s="27">
        <v>10</v>
      </c>
      <c r="H15" s="25">
        <f t="shared" si="2"/>
        <v>0.5</v>
      </c>
      <c r="I15" s="15">
        <v>1</v>
      </c>
      <c r="J15" s="23">
        <f t="shared" si="3"/>
        <v>0.05</v>
      </c>
      <c r="K15" s="17">
        <v>10</v>
      </c>
      <c r="L15" s="18">
        <f t="shared" si="4"/>
        <v>0.5</v>
      </c>
      <c r="M15" s="16">
        <v>10</v>
      </c>
      <c r="N15" s="18">
        <f t="shared" si="5"/>
        <v>0.5</v>
      </c>
      <c r="O15" s="16">
        <v>0</v>
      </c>
      <c r="P15" s="23">
        <f t="shared" si="6"/>
        <v>0</v>
      </c>
      <c r="Q15" s="62">
        <f t="shared" si="7"/>
        <v>0.5</v>
      </c>
      <c r="R15" s="63"/>
      <c r="S15" s="63"/>
      <c r="T15" s="63"/>
      <c r="U15" s="63"/>
      <c r="V15" s="64" t="s">
        <v>23</v>
      </c>
      <c r="W15" s="64"/>
      <c r="X15" s="64"/>
      <c r="Y15" s="64"/>
      <c r="Z15" s="64"/>
      <c r="AA15" s="64"/>
      <c r="AB15" s="65"/>
    </row>
    <row r="16" spans="1:28" ht="24.95" customHeight="1" x14ac:dyDescent="0.25">
      <c r="A16" s="48">
        <v>8</v>
      </c>
      <c r="B16" s="87" t="s">
        <v>14</v>
      </c>
      <c r="C16" s="31">
        <v>12</v>
      </c>
      <c r="D16" s="32">
        <f t="shared" si="0"/>
        <v>0.6</v>
      </c>
      <c r="E16" s="33">
        <v>1</v>
      </c>
      <c r="F16" s="32">
        <f t="shared" si="1"/>
        <v>0.05</v>
      </c>
      <c r="G16" s="34">
        <v>3</v>
      </c>
      <c r="H16" s="32">
        <f t="shared" si="2"/>
        <v>0.15</v>
      </c>
      <c r="I16" s="33">
        <v>4</v>
      </c>
      <c r="J16" s="35">
        <f t="shared" si="3"/>
        <v>0.2</v>
      </c>
      <c r="K16" s="36">
        <v>4</v>
      </c>
      <c r="L16" s="37">
        <f t="shared" si="4"/>
        <v>0.2</v>
      </c>
      <c r="M16" s="38">
        <v>16</v>
      </c>
      <c r="N16" s="37">
        <f t="shared" si="5"/>
        <v>0.8</v>
      </c>
      <c r="O16" s="38">
        <v>0</v>
      </c>
      <c r="P16" s="35">
        <f t="shared" si="6"/>
        <v>0</v>
      </c>
      <c r="Q16" s="62">
        <f t="shared" si="7"/>
        <v>0.2</v>
      </c>
      <c r="R16" s="63"/>
      <c r="S16" s="63"/>
      <c r="T16" s="63"/>
      <c r="U16" s="63"/>
      <c r="V16" s="64" t="s">
        <v>24</v>
      </c>
      <c r="W16" s="64"/>
      <c r="X16" s="64"/>
      <c r="Y16" s="64"/>
      <c r="Z16" s="64"/>
      <c r="AA16" s="64"/>
      <c r="AB16" s="65"/>
    </row>
    <row r="17" spans="1:28" ht="24.95" customHeight="1" x14ac:dyDescent="0.25">
      <c r="A17" s="29">
        <v>9</v>
      </c>
      <c r="B17" s="86" t="s">
        <v>5</v>
      </c>
      <c r="C17" s="22">
        <v>20</v>
      </c>
      <c r="D17" s="25">
        <f t="shared" si="0"/>
        <v>1</v>
      </c>
      <c r="E17" s="15">
        <v>0</v>
      </c>
      <c r="F17" s="25">
        <f t="shared" si="1"/>
        <v>0</v>
      </c>
      <c r="G17" s="27">
        <v>0</v>
      </c>
      <c r="H17" s="25">
        <f t="shared" si="2"/>
        <v>0</v>
      </c>
      <c r="I17" s="15">
        <v>0</v>
      </c>
      <c r="J17" s="23">
        <f t="shared" si="3"/>
        <v>0</v>
      </c>
      <c r="K17" s="17">
        <v>20</v>
      </c>
      <c r="L17" s="18">
        <f t="shared" si="4"/>
        <v>1</v>
      </c>
      <c r="M17" s="16">
        <v>0</v>
      </c>
      <c r="N17" s="18">
        <f t="shared" si="5"/>
        <v>0</v>
      </c>
      <c r="O17" s="16">
        <v>0</v>
      </c>
      <c r="P17" s="23">
        <f t="shared" si="6"/>
        <v>0</v>
      </c>
      <c r="Q17" s="62">
        <f t="shared" si="7"/>
        <v>1</v>
      </c>
      <c r="R17" s="63"/>
      <c r="S17" s="63"/>
      <c r="T17" s="63"/>
      <c r="U17" s="63"/>
      <c r="V17" s="64" t="s">
        <v>25</v>
      </c>
      <c r="W17" s="64"/>
      <c r="X17" s="64"/>
      <c r="Y17" s="64"/>
      <c r="Z17" s="64"/>
      <c r="AA17" s="64"/>
      <c r="AB17" s="65"/>
    </row>
    <row r="18" spans="1:28" ht="24.95" customHeight="1" x14ac:dyDescent="0.25">
      <c r="A18" s="48">
        <v>10</v>
      </c>
      <c r="B18" s="87" t="s">
        <v>12</v>
      </c>
      <c r="C18" s="31">
        <v>8</v>
      </c>
      <c r="D18" s="32">
        <f t="shared" si="0"/>
        <v>0.4</v>
      </c>
      <c r="E18" s="33">
        <v>9</v>
      </c>
      <c r="F18" s="32">
        <f t="shared" si="1"/>
        <v>0.45</v>
      </c>
      <c r="G18" s="34">
        <v>2</v>
      </c>
      <c r="H18" s="32">
        <f t="shared" si="2"/>
        <v>0.1</v>
      </c>
      <c r="I18" s="33">
        <v>1</v>
      </c>
      <c r="J18" s="35">
        <f t="shared" si="3"/>
        <v>0.05</v>
      </c>
      <c r="K18" s="36">
        <v>9</v>
      </c>
      <c r="L18" s="37">
        <f t="shared" si="4"/>
        <v>0.45</v>
      </c>
      <c r="M18" s="38">
        <v>11</v>
      </c>
      <c r="N18" s="37">
        <f t="shared" si="5"/>
        <v>0.55000000000000004</v>
      </c>
      <c r="O18" s="38">
        <v>0</v>
      </c>
      <c r="P18" s="35">
        <f t="shared" si="6"/>
        <v>0</v>
      </c>
      <c r="Q18" s="62">
        <f t="shared" si="7"/>
        <v>0.45</v>
      </c>
      <c r="R18" s="63"/>
      <c r="S18" s="63"/>
      <c r="T18" s="63"/>
      <c r="U18" s="63"/>
      <c r="V18" s="64" t="s">
        <v>26</v>
      </c>
      <c r="W18" s="64"/>
      <c r="X18" s="64"/>
      <c r="Y18" s="64"/>
      <c r="Z18" s="64"/>
      <c r="AA18" s="64"/>
      <c r="AB18" s="65"/>
    </row>
    <row r="19" spans="1:28" ht="24.95" customHeight="1" x14ac:dyDescent="0.25">
      <c r="A19" s="28">
        <v>11</v>
      </c>
      <c r="B19" s="85" t="s">
        <v>5</v>
      </c>
      <c r="C19" s="20">
        <v>10</v>
      </c>
      <c r="D19" s="24">
        <f>C19/$AB$5</f>
        <v>0.5</v>
      </c>
      <c r="E19" s="12">
        <v>5</v>
      </c>
      <c r="F19" s="24">
        <f>E19/$AB$5</f>
        <v>0.25</v>
      </c>
      <c r="G19" s="26">
        <v>2</v>
      </c>
      <c r="H19" s="24">
        <f>G19/$AB$5</f>
        <v>0.1</v>
      </c>
      <c r="I19" s="12">
        <v>1</v>
      </c>
      <c r="J19" s="21">
        <f>I19/$AB$5</f>
        <v>0.05</v>
      </c>
      <c r="K19" s="14">
        <v>10</v>
      </c>
      <c r="L19" s="19">
        <f>K19/$AB$5</f>
        <v>0.5</v>
      </c>
      <c r="M19" s="13">
        <v>8</v>
      </c>
      <c r="N19" s="19">
        <f>M19/$AB$5</f>
        <v>0.4</v>
      </c>
      <c r="O19" s="13">
        <v>2</v>
      </c>
      <c r="P19" s="21">
        <f>O19/$AB$5</f>
        <v>0.1</v>
      </c>
      <c r="Q19" s="80">
        <f>K19/(K19+M19+O19)</f>
        <v>0.5</v>
      </c>
      <c r="R19" s="81"/>
      <c r="S19" s="81"/>
      <c r="T19" s="81"/>
      <c r="U19" s="81"/>
      <c r="V19" s="66" t="s">
        <v>17</v>
      </c>
      <c r="W19" s="66"/>
      <c r="X19" s="66"/>
      <c r="Y19" s="66"/>
      <c r="Z19" s="66"/>
      <c r="AA19" s="66"/>
      <c r="AB19" s="67"/>
    </row>
    <row r="20" spans="1:28" ht="24.95" customHeight="1" x14ac:dyDescent="0.25">
      <c r="A20" s="48">
        <v>12</v>
      </c>
      <c r="B20" s="87" t="s">
        <v>12</v>
      </c>
      <c r="C20" s="31">
        <v>0</v>
      </c>
      <c r="D20" s="32">
        <f t="shared" ref="D20:D28" si="8">C20/$AB$5</f>
        <v>0</v>
      </c>
      <c r="E20" s="33">
        <v>19</v>
      </c>
      <c r="F20" s="32">
        <f t="shared" ref="F20:F28" si="9">E20/$AB$5</f>
        <v>0.95</v>
      </c>
      <c r="G20" s="34">
        <v>1</v>
      </c>
      <c r="H20" s="32">
        <f t="shared" ref="H20:H28" si="10">G20/$AB$5</f>
        <v>0.05</v>
      </c>
      <c r="I20" s="33">
        <v>0</v>
      </c>
      <c r="J20" s="35">
        <f t="shared" ref="J20:J28" si="11">I20/$AB$5</f>
        <v>0</v>
      </c>
      <c r="K20" s="36">
        <v>19</v>
      </c>
      <c r="L20" s="37">
        <f t="shared" ref="L20:L28" si="12">K20/$AB$5</f>
        <v>0.95</v>
      </c>
      <c r="M20" s="38">
        <v>1</v>
      </c>
      <c r="N20" s="37">
        <f t="shared" ref="N20:N28" si="13">M20/$AB$5</f>
        <v>0.05</v>
      </c>
      <c r="O20" s="38">
        <v>0</v>
      </c>
      <c r="P20" s="35">
        <f t="shared" ref="P20:P28" si="14">O20/$AB$5</f>
        <v>0</v>
      </c>
      <c r="Q20" s="62">
        <f t="shared" ref="Q20:Q28" si="15">K20/(K20+M20+O20)</f>
        <v>0.95</v>
      </c>
      <c r="R20" s="63"/>
      <c r="S20" s="63"/>
      <c r="T20" s="63"/>
      <c r="U20" s="63"/>
      <c r="V20" s="64" t="s">
        <v>18</v>
      </c>
      <c r="W20" s="64"/>
      <c r="X20" s="64"/>
      <c r="Y20" s="64"/>
      <c r="Z20" s="64"/>
      <c r="AA20" s="64"/>
      <c r="AB20" s="65"/>
    </row>
    <row r="21" spans="1:28" ht="24.95" customHeight="1" x14ac:dyDescent="0.25">
      <c r="A21" s="29">
        <v>13</v>
      </c>
      <c r="B21" s="86" t="s">
        <v>13</v>
      </c>
      <c r="C21" s="22">
        <v>3</v>
      </c>
      <c r="D21" s="25">
        <f t="shared" si="8"/>
        <v>0.15</v>
      </c>
      <c r="E21" s="15">
        <v>3</v>
      </c>
      <c r="F21" s="25">
        <f t="shared" si="9"/>
        <v>0.15</v>
      </c>
      <c r="G21" s="27">
        <v>12</v>
      </c>
      <c r="H21" s="25">
        <f t="shared" si="10"/>
        <v>0.6</v>
      </c>
      <c r="I21" s="15">
        <v>2</v>
      </c>
      <c r="J21" s="23">
        <f t="shared" si="11"/>
        <v>0.1</v>
      </c>
      <c r="K21" s="17">
        <v>12</v>
      </c>
      <c r="L21" s="18">
        <f t="shared" si="12"/>
        <v>0.6</v>
      </c>
      <c r="M21" s="16">
        <v>8</v>
      </c>
      <c r="N21" s="18">
        <f t="shared" si="13"/>
        <v>0.4</v>
      </c>
      <c r="O21" s="16">
        <v>0</v>
      </c>
      <c r="P21" s="23">
        <f t="shared" si="14"/>
        <v>0</v>
      </c>
      <c r="Q21" s="62">
        <f t="shared" si="15"/>
        <v>0.6</v>
      </c>
      <c r="R21" s="63"/>
      <c r="S21" s="63"/>
      <c r="T21" s="63"/>
      <c r="U21" s="63"/>
      <c r="V21" s="64" t="s">
        <v>19</v>
      </c>
      <c r="W21" s="64"/>
      <c r="X21" s="64"/>
      <c r="Y21" s="64"/>
      <c r="Z21" s="64"/>
      <c r="AA21" s="64"/>
      <c r="AB21" s="65"/>
    </row>
    <row r="22" spans="1:28" ht="24.95" customHeight="1" x14ac:dyDescent="0.25">
      <c r="A22" s="48">
        <v>14</v>
      </c>
      <c r="B22" s="87" t="s">
        <v>14</v>
      </c>
      <c r="C22" s="31">
        <v>5</v>
      </c>
      <c r="D22" s="32">
        <f t="shared" si="8"/>
        <v>0.25</v>
      </c>
      <c r="E22" s="33">
        <v>5</v>
      </c>
      <c r="F22" s="32">
        <f t="shared" si="9"/>
        <v>0.25</v>
      </c>
      <c r="G22" s="34">
        <v>5</v>
      </c>
      <c r="H22" s="32">
        <f t="shared" si="10"/>
        <v>0.25</v>
      </c>
      <c r="I22" s="33">
        <v>5</v>
      </c>
      <c r="J22" s="35">
        <f t="shared" si="11"/>
        <v>0.25</v>
      </c>
      <c r="K22" s="36">
        <v>5</v>
      </c>
      <c r="L22" s="37">
        <f t="shared" si="12"/>
        <v>0.25</v>
      </c>
      <c r="M22" s="38">
        <v>15</v>
      </c>
      <c r="N22" s="37">
        <f t="shared" si="13"/>
        <v>0.75</v>
      </c>
      <c r="O22" s="38">
        <v>0</v>
      </c>
      <c r="P22" s="35">
        <f t="shared" si="14"/>
        <v>0</v>
      </c>
      <c r="Q22" s="62">
        <f t="shared" si="15"/>
        <v>0.25</v>
      </c>
      <c r="R22" s="63"/>
      <c r="S22" s="63"/>
      <c r="T22" s="63"/>
      <c r="U22" s="63"/>
      <c r="V22" s="64" t="s">
        <v>20</v>
      </c>
      <c r="W22" s="64"/>
      <c r="X22" s="64"/>
      <c r="Y22" s="64"/>
      <c r="Z22" s="64"/>
      <c r="AA22" s="64"/>
      <c r="AB22" s="65"/>
    </row>
    <row r="23" spans="1:28" ht="24.95" customHeight="1" x14ac:dyDescent="0.25">
      <c r="A23" s="29">
        <v>15</v>
      </c>
      <c r="B23" s="86" t="s">
        <v>5</v>
      </c>
      <c r="C23" s="22">
        <v>13</v>
      </c>
      <c r="D23" s="25">
        <f t="shared" si="8"/>
        <v>0.65</v>
      </c>
      <c r="E23" s="15">
        <v>2</v>
      </c>
      <c r="F23" s="25">
        <f t="shared" si="9"/>
        <v>0.1</v>
      </c>
      <c r="G23" s="27">
        <v>3</v>
      </c>
      <c r="H23" s="25">
        <f t="shared" si="10"/>
        <v>0.15</v>
      </c>
      <c r="I23" s="15">
        <v>2</v>
      </c>
      <c r="J23" s="23">
        <f t="shared" si="11"/>
        <v>0.1</v>
      </c>
      <c r="K23" s="17">
        <v>13</v>
      </c>
      <c r="L23" s="18">
        <f t="shared" si="12"/>
        <v>0.65</v>
      </c>
      <c r="M23" s="16">
        <v>7</v>
      </c>
      <c r="N23" s="18">
        <f t="shared" si="13"/>
        <v>0.35</v>
      </c>
      <c r="O23" s="16">
        <v>0</v>
      </c>
      <c r="P23" s="23">
        <f t="shared" si="14"/>
        <v>0</v>
      </c>
      <c r="Q23" s="62">
        <f t="shared" si="15"/>
        <v>0.65</v>
      </c>
      <c r="R23" s="63"/>
      <c r="S23" s="63"/>
      <c r="T23" s="63"/>
      <c r="U23" s="63"/>
      <c r="V23" s="64" t="s">
        <v>21</v>
      </c>
      <c r="W23" s="64"/>
      <c r="X23" s="64"/>
      <c r="Y23" s="64"/>
      <c r="Z23" s="64"/>
      <c r="AA23" s="64"/>
      <c r="AB23" s="65"/>
    </row>
    <row r="24" spans="1:28" ht="24.95" customHeight="1" x14ac:dyDescent="0.25">
      <c r="A24" s="48">
        <v>16</v>
      </c>
      <c r="B24" s="87" t="s">
        <v>12</v>
      </c>
      <c r="C24" s="31">
        <v>4</v>
      </c>
      <c r="D24" s="32">
        <f t="shared" si="8"/>
        <v>0.2</v>
      </c>
      <c r="E24" s="33">
        <v>15</v>
      </c>
      <c r="F24" s="32">
        <f t="shared" si="9"/>
        <v>0.75</v>
      </c>
      <c r="G24" s="34">
        <v>0</v>
      </c>
      <c r="H24" s="32">
        <f t="shared" si="10"/>
        <v>0</v>
      </c>
      <c r="I24" s="33">
        <v>0</v>
      </c>
      <c r="J24" s="35">
        <f t="shared" si="11"/>
        <v>0</v>
      </c>
      <c r="K24" s="36">
        <v>15</v>
      </c>
      <c r="L24" s="37">
        <f t="shared" si="12"/>
        <v>0.75</v>
      </c>
      <c r="M24" s="38">
        <v>4</v>
      </c>
      <c r="N24" s="37">
        <f t="shared" si="13"/>
        <v>0.2</v>
      </c>
      <c r="O24" s="38">
        <v>1</v>
      </c>
      <c r="P24" s="35">
        <f t="shared" si="14"/>
        <v>0.05</v>
      </c>
      <c r="Q24" s="62">
        <f t="shared" si="15"/>
        <v>0.75</v>
      </c>
      <c r="R24" s="63"/>
      <c r="S24" s="63"/>
      <c r="T24" s="63"/>
      <c r="U24" s="63"/>
      <c r="V24" s="64" t="s">
        <v>22</v>
      </c>
      <c r="W24" s="64"/>
      <c r="X24" s="64"/>
      <c r="Y24" s="64"/>
      <c r="Z24" s="64"/>
      <c r="AA24" s="64"/>
      <c r="AB24" s="65"/>
    </row>
    <row r="25" spans="1:28" ht="24.95" customHeight="1" x14ac:dyDescent="0.25">
      <c r="A25" s="29">
        <v>17</v>
      </c>
      <c r="B25" s="86" t="s">
        <v>13</v>
      </c>
      <c r="C25" s="22">
        <v>2</v>
      </c>
      <c r="D25" s="25">
        <f t="shared" si="8"/>
        <v>0.1</v>
      </c>
      <c r="E25" s="15">
        <v>7</v>
      </c>
      <c r="F25" s="25">
        <f t="shared" si="9"/>
        <v>0.35</v>
      </c>
      <c r="G25" s="27">
        <v>10</v>
      </c>
      <c r="H25" s="25">
        <f t="shared" si="10"/>
        <v>0.5</v>
      </c>
      <c r="I25" s="15">
        <v>1</v>
      </c>
      <c r="J25" s="23">
        <f t="shared" si="11"/>
        <v>0.05</v>
      </c>
      <c r="K25" s="17">
        <v>10</v>
      </c>
      <c r="L25" s="18">
        <f t="shared" si="12"/>
        <v>0.5</v>
      </c>
      <c r="M25" s="16">
        <v>10</v>
      </c>
      <c r="N25" s="18">
        <f t="shared" si="13"/>
        <v>0.5</v>
      </c>
      <c r="O25" s="16">
        <v>0</v>
      </c>
      <c r="P25" s="23">
        <f t="shared" si="14"/>
        <v>0</v>
      </c>
      <c r="Q25" s="62">
        <f t="shared" si="15"/>
        <v>0.5</v>
      </c>
      <c r="R25" s="63"/>
      <c r="S25" s="63"/>
      <c r="T25" s="63"/>
      <c r="U25" s="63"/>
      <c r="V25" s="64" t="s">
        <v>23</v>
      </c>
      <c r="W25" s="64"/>
      <c r="X25" s="64"/>
      <c r="Y25" s="64"/>
      <c r="Z25" s="64"/>
      <c r="AA25" s="64"/>
      <c r="AB25" s="65"/>
    </row>
    <row r="26" spans="1:28" ht="24.95" customHeight="1" x14ac:dyDescent="0.25">
      <c r="A26" s="48">
        <v>18</v>
      </c>
      <c r="B26" s="87" t="s">
        <v>14</v>
      </c>
      <c r="C26" s="31">
        <v>12</v>
      </c>
      <c r="D26" s="32">
        <f t="shared" si="8"/>
        <v>0.6</v>
      </c>
      <c r="E26" s="33">
        <v>1</v>
      </c>
      <c r="F26" s="32">
        <f t="shared" si="9"/>
        <v>0.05</v>
      </c>
      <c r="G26" s="34">
        <v>3</v>
      </c>
      <c r="H26" s="32">
        <f t="shared" si="10"/>
        <v>0.15</v>
      </c>
      <c r="I26" s="33">
        <v>4</v>
      </c>
      <c r="J26" s="35">
        <f t="shared" si="11"/>
        <v>0.2</v>
      </c>
      <c r="K26" s="36">
        <v>4</v>
      </c>
      <c r="L26" s="37">
        <f t="shared" si="12"/>
        <v>0.2</v>
      </c>
      <c r="M26" s="38">
        <v>16</v>
      </c>
      <c r="N26" s="37">
        <f t="shared" si="13"/>
        <v>0.8</v>
      </c>
      <c r="O26" s="38">
        <v>0</v>
      </c>
      <c r="P26" s="35">
        <f t="shared" si="14"/>
        <v>0</v>
      </c>
      <c r="Q26" s="62">
        <f t="shared" si="15"/>
        <v>0.2</v>
      </c>
      <c r="R26" s="63"/>
      <c r="S26" s="63"/>
      <c r="T26" s="63"/>
      <c r="U26" s="63"/>
      <c r="V26" s="64" t="s">
        <v>24</v>
      </c>
      <c r="W26" s="64"/>
      <c r="X26" s="64"/>
      <c r="Y26" s="64"/>
      <c r="Z26" s="64"/>
      <c r="AA26" s="64"/>
      <c r="AB26" s="65"/>
    </row>
    <row r="27" spans="1:28" ht="24.95" customHeight="1" x14ac:dyDescent="0.25">
      <c r="A27" s="29">
        <v>19</v>
      </c>
      <c r="B27" s="86" t="s">
        <v>5</v>
      </c>
      <c r="C27" s="22">
        <v>20</v>
      </c>
      <c r="D27" s="25">
        <f t="shared" si="8"/>
        <v>1</v>
      </c>
      <c r="E27" s="15">
        <v>0</v>
      </c>
      <c r="F27" s="25">
        <f t="shared" si="9"/>
        <v>0</v>
      </c>
      <c r="G27" s="27">
        <v>0</v>
      </c>
      <c r="H27" s="25">
        <f t="shared" si="10"/>
        <v>0</v>
      </c>
      <c r="I27" s="15">
        <v>0</v>
      </c>
      <c r="J27" s="23">
        <f t="shared" si="11"/>
        <v>0</v>
      </c>
      <c r="K27" s="17">
        <v>20</v>
      </c>
      <c r="L27" s="18">
        <f t="shared" si="12"/>
        <v>1</v>
      </c>
      <c r="M27" s="16">
        <v>0</v>
      </c>
      <c r="N27" s="18">
        <f t="shared" si="13"/>
        <v>0</v>
      </c>
      <c r="O27" s="16">
        <v>0</v>
      </c>
      <c r="P27" s="23">
        <f t="shared" si="14"/>
        <v>0</v>
      </c>
      <c r="Q27" s="62">
        <f t="shared" si="15"/>
        <v>1</v>
      </c>
      <c r="R27" s="63"/>
      <c r="S27" s="63"/>
      <c r="T27" s="63"/>
      <c r="U27" s="63"/>
      <c r="V27" s="64" t="s">
        <v>25</v>
      </c>
      <c r="W27" s="64"/>
      <c r="X27" s="64"/>
      <c r="Y27" s="64"/>
      <c r="Z27" s="64"/>
      <c r="AA27" s="64"/>
      <c r="AB27" s="65"/>
    </row>
    <row r="28" spans="1:28" ht="24.95" customHeight="1" thickBot="1" x14ac:dyDescent="0.3">
      <c r="A28" s="47">
        <v>20</v>
      </c>
      <c r="B28" s="88" t="s">
        <v>12</v>
      </c>
      <c r="C28" s="39">
        <v>8</v>
      </c>
      <c r="D28" s="40">
        <f t="shared" si="8"/>
        <v>0.4</v>
      </c>
      <c r="E28" s="41">
        <v>9</v>
      </c>
      <c r="F28" s="40">
        <f t="shared" si="9"/>
        <v>0.45</v>
      </c>
      <c r="G28" s="42">
        <v>2</v>
      </c>
      <c r="H28" s="40">
        <f t="shared" si="10"/>
        <v>0.1</v>
      </c>
      <c r="I28" s="41">
        <v>1</v>
      </c>
      <c r="J28" s="43">
        <f t="shared" si="11"/>
        <v>0.05</v>
      </c>
      <c r="K28" s="44">
        <v>9</v>
      </c>
      <c r="L28" s="45">
        <f t="shared" si="12"/>
        <v>0.45</v>
      </c>
      <c r="M28" s="46">
        <v>11</v>
      </c>
      <c r="N28" s="45">
        <f t="shared" si="13"/>
        <v>0.55000000000000004</v>
      </c>
      <c r="O28" s="46">
        <v>0</v>
      </c>
      <c r="P28" s="43">
        <f t="shared" si="14"/>
        <v>0</v>
      </c>
      <c r="Q28" s="70">
        <f t="shared" si="15"/>
        <v>0.45</v>
      </c>
      <c r="R28" s="71"/>
      <c r="S28" s="71"/>
      <c r="T28" s="71"/>
      <c r="U28" s="71"/>
      <c r="V28" s="68" t="s">
        <v>26</v>
      </c>
      <c r="W28" s="68"/>
      <c r="X28" s="68"/>
      <c r="Y28" s="68"/>
      <c r="Z28" s="68"/>
      <c r="AA28" s="68"/>
      <c r="AB28" s="69"/>
    </row>
  </sheetData>
  <mergeCells count="60">
    <mergeCell ref="V11:AB11"/>
    <mergeCell ref="Q19:U19"/>
    <mergeCell ref="Q20:U20"/>
    <mergeCell ref="Q21:U21"/>
    <mergeCell ref="Q22:U22"/>
    <mergeCell ref="Q13:U13"/>
    <mergeCell ref="Q14:U14"/>
    <mergeCell ref="Q15:U15"/>
    <mergeCell ref="Q16:U16"/>
    <mergeCell ref="Q17:U17"/>
    <mergeCell ref="Q18:U18"/>
    <mergeCell ref="A1:AB1"/>
    <mergeCell ref="Q9:U9"/>
    <mergeCell ref="Q10:U10"/>
    <mergeCell ref="Q11:U11"/>
    <mergeCell ref="Q12:U12"/>
    <mergeCell ref="V12:AB12"/>
    <mergeCell ref="Z5:AA5"/>
    <mergeCell ref="A3:B3"/>
    <mergeCell ref="C7:D7"/>
    <mergeCell ref="E7:F7"/>
    <mergeCell ref="G7:H7"/>
    <mergeCell ref="I7:J7"/>
    <mergeCell ref="K7:L7"/>
    <mergeCell ref="M7:N7"/>
    <mergeCell ref="O7:P7"/>
    <mergeCell ref="A4:B4"/>
    <mergeCell ref="A5:B5"/>
    <mergeCell ref="C3:I3"/>
    <mergeCell ref="C4:I4"/>
    <mergeCell ref="C5:I5"/>
    <mergeCell ref="B7:B8"/>
    <mergeCell ref="A7:A8"/>
    <mergeCell ref="Q25:U25"/>
    <mergeCell ref="Q26:U26"/>
    <mergeCell ref="V28:AB28"/>
    <mergeCell ref="V27:AB27"/>
    <mergeCell ref="V22:AB22"/>
    <mergeCell ref="V23:AB23"/>
    <mergeCell ref="V24:AB24"/>
    <mergeCell ref="V25:AB25"/>
    <mergeCell ref="V26:AB26"/>
    <mergeCell ref="Q27:U27"/>
    <mergeCell ref="Q28:U28"/>
    <mergeCell ref="Z4:AA4"/>
    <mergeCell ref="Q7:U8"/>
    <mergeCell ref="V7:AB8"/>
    <mergeCell ref="Q23:U23"/>
    <mergeCell ref="Q24:U24"/>
    <mergeCell ref="V17:AB17"/>
    <mergeCell ref="V18:AB18"/>
    <mergeCell ref="V19:AB19"/>
    <mergeCell ref="V20:AB20"/>
    <mergeCell ref="V21:AB21"/>
    <mergeCell ref="V13:AB13"/>
    <mergeCell ref="V14:AB14"/>
    <mergeCell ref="V15:AB15"/>
    <mergeCell ref="V16:AB16"/>
    <mergeCell ref="V9:AB9"/>
    <mergeCell ref="V10:AB10"/>
  </mergeCells>
  <conditionalFormatting sqref="Q9:U1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{871FA09D-38D4-4CB8-9A67-83CFB2CAE61D}</x14:id>
        </ext>
      </extLst>
    </cfRule>
  </conditionalFormatting>
  <conditionalFormatting sqref="Q19:U2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{B0B32B4B-10BD-4E92-AD0E-F7CFA4A56E61}</x14:id>
        </ext>
      </extLst>
    </cfRule>
  </conditionalFormatting>
  <printOptions horizontalCentered="1"/>
  <pageMargins left="0.59055118110236227" right="0.59055118110236227" top="0.39370078740157483" bottom="0.39370078740157483" header="0.31496062992125984" footer="0.31496062992125984"/>
  <pageSetup paperSize="9" scale="74" orientation="landscape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1FA09D-38D4-4CB8-9A67-83CFB2CAE61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Q9:U18</xm:sqref>
        </x14:conditionalFormatting>
        <x14:conditionalFormatting xmlns:xm="http://schemas.microsoft.com/office/excel/2006/main">
          <x14:cfRule type="dataBar" id="{B0B32B4B-10BD-4E92-AD0E-F7CFA4A56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Q19:U28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2016-01-30T18:45:01Z</dcterms:modified>
</cp:coreProperties>
</file>