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definedNames>
    <definedName name="_xlnm.Print_Area" localSheetId="0">Sayfa1!$A$1:$O$39</definedName>
  </definedNames>
  <calcPr calcId="152511"/>
</workbook>
</file>

<file path=xl/calcChain.xml><?xml version="1.0" encoding="utf-8"?>
<calcChain xmlns="http://schemas.openxmlformats.org/spreadsheetml/2006/main">
  <c r="L19" i="1" l="1"/>
  <c r="L18" i="1"/>
  <c r="L16" i="1"/>
  <c r="L15" i="1"/>
  <c r="L13" i="1"/>
  <c r="L12" i="1"/>
  <c r="L11" i="1"/>
  <c r="J21" i="1" l="1"/>
  <c r="S12" i="1" l="1"/>
  <c r="S13" i="1"/>
  <c r="S14" i="1"/>
  <c r="S15" i="1"/>
  <c r="S16" i="1"/>
  <c r="S17" i="1"/>
  <c r="S18" i="1"/>
  <c r="S19" i="1"/>
  <c r="S11" i="1"/>
  <c r="M12" i="1" l="1"/>
  <c r="M13" i="1"/>
  <c r="M14" i="1"/>
  <c r="M15" i="1"/>
  <c r="M16" i="1"/>
  <c r="M17" i="1"/>
  <c r="M18" i="1"/>
  <c r="M19" i="1"/>
  <c r="M11" i="1"/>
  <c r="F21" i="1"/>
  <c r="M21" i="1" l="1"/>
  <c r="I21" i="1"/>
  <c r="H21" i="1"/>
  <c r="K21" i="1"/>
</calcChain>
</file>

<file path=xl/comments1.xml><?xml version="1.0" encoding="utf-8"?>
<comments xmlns="http://schemas.openxmlformats.org/spreadsheetml/2006/main">
  <authors>
    <author>Yazar</author>
  </authors>
  <commentList>
    <comment ref="B9" authorId="0" shapeId="0">
      <text>
        <r>
          <rPr>
            <b/>
            <sz val="9"/>
            <color indexed="81"/>
            <rFont val="Tahoma"/>
            <charset val="1"/>
          </rPr>
          <t>Ders Sınavı, Kazanım Kavrama Testi veya Deneme Sınavı listelenecek.</t>
        </r>
      </text>
    </comment>
  </commentList>
</comments>
</file>

<file path=xl/sharedStrings.xml><?xml version="1.0" encoding="utf-8"?>
<sst xmlns="http://schemas.openxmlformats.org/spreadsheetml/2006/main" count="71" uniqueCount="45">
  <si>
    <t>Sıra</t>
  </si>
  <si>
    <t>Sınav Adı</t>
  </si>
  <si>
    <t>Tarih</t>
  </si>
  <si>
    <t>Başarı
(%)</t>
  </si>
  <si>
    <t>Adı - Soyadı</t>
  </si>
  <si>
    <t>Soru
Sayısı</t>
  </si>
  <si>
    <t>Doğru</t>
  </si>
  <si>
    <t>Yanlış</t>
  </si>
  <si>
    <t>Net</t>
  </si>
  <si>
    <t>SOSYAL BİLGİLER</t>
  </si>
  <si>
    <t>TÜRKÇE</t>
  </si>
  <si>
    <t>FEN BİLİMLERİ</t>
  </si>
  <si>
    <t>MATEMATİK</t>
  </si>
  <si>
    <t>İNGİLİZCE</t>
  </si>
  <si>
    <t>DİN KÜLTÜRÜ</t>
  </si>
  <si>
    <t>1. SINAV</t>
  </si>
  <si>
    <t>1. KONTROL TESTİ</t>
  </si>
  <si>
    <t>2.ÜNİTE DEĞ. TESTİ</t>
  </si>
  <si>
    <t>2. YAZILI SINAV</t>
  </si>
  <si>
    <t>1. DENEME SINAVI</t>
  </si>
  <si>
    <t>ÖĞRENCİ SINAV GEÇMİŞİ</t>
  </si>
  <si>
    <t>No</t>
  </si>
  <si>
    <t>: NECATİ YALÇIN</t>
  </si>
  <si>
    <t>: 2586</t>
  </si>
  <si>
    <t>ORTALAMA</t>
  </si>
  <si>
    <t>Ortalama
Puanı</t>
  </si>
  <si>
    <t>Sınav Bilgileri</t>
  </si>
  <si>
    <t>Öğrenci Bilgileri</t>
  </si>
  <si>
    <t>DENEME SINAVI</t>
  </si>
  <si>
    <t>9. DENEME SINAVI</t>
  </si>
  <si>
    <t>8. DENEME SINAVI</t>
  </si>
  <si>
    <t>Boş</t>
  </si>
  <si>
    <t xml:space="preserve">SOSYAL BİLGİLER </t>
  </si>
  <si>
    <t xml:space="preserve">DENEME SINAVI </t>
  </si>
  <si>
    <t xml:space="preserve">FEN BİLİMLERİ </t>
  </si>
  <si>
    <t xml:space="preserve">İNGİLİZCE </t>
  </si>
  <si>
    <t xml:space="preserve">DİN KÜLTÜRÜ </t>
  </si>
  <si>
    <t>Ders - Sınav</t>
  </si>
  <si>
    <t>Puan</t>
  </si>
  <si>
    <t>Sınıf</t>
  </si>
  <si>
    <t>:7</t>
  </si>
  <si>
    <t>Şube</t>
  </si>
  <si>
    <t>:A</t>
  </si>
  <si>
    <t>Sınıf
Sıra</t>
  </si>
  <si>
    <t>Okul
Sıra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</si>
</sst>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color theme="0" tint="-0.34998626667073579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0" tint="-0.34998626667073579"/>
      <name val="Calibri"/>
      <family val="2"/>
      <charset val="16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4"/>
      <name val="Calibri"/>
      <family val="2"/>
      <charset val="162"/>
      <scheme val="minor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Border="1" applyAlignment="1">
      <alignment horizontal="left" vertical="center" indent="1"/>
    </xf>
    <xf numFmtId="0" fontId="4" fillId="0" borderId="0" xfId="0" applyFont="1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2" fontId="0" fillId="0" borderId="7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0" fillId="0" borderId="9" xfId="0" applyBorder="1" applyAlignment="1">
      <alignment horizontal="left" vertical="center" indent="1"/>
    </xf>
    <xf numFmtId="1" fontId="0" fillId="0" borderId="7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0" fillId="0" borderId="12" xfId="0" applyBorder="1" applyAlignment="1">
      <alignment horizontal="left" vertical="center" indent="1"/>
    </xf>
    <xf numFmtId="1" fontId="0" fillId="0" borderId="19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Border="1"/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Fill="1"/>
    <xf numFmtId="0" fontId="8" fillId="0" borderId="0" xfId="0" applyFont="1" applyFill="1" applyAlignment="1">
      <alignment vertical="center"/>
    </xf>
    <xf numFmtId="9" fontId="8" fillId="0" borderId="0" xfId="0" applyNumberFormat="1" applyFont="1" applyFill="1" applyAlignment="1">
      <alignment vertical="center"/>
    </xf>
    <xf numFmtId="0" fontId="8" fillId="0" borderId="0" xfId="0" applyFont="1" applyFill="1" applyBorder="1"/>
    <xf numFmtId="9" fontId="8" fillId="0" borderId="0" xfId="0" applyNumberFormat="1" applyFont="1" applyFill="1" applyBorder="1"/>
    <xf numFmtId="0" fontId="9" fillId="0" borderId="0" xfId="0" applyFont="1" applyFill="1" applyAlignment="1">
      <alignment vertical="center"/>
    </xf>
    <xf numFmtId="9" fontId="9" fillId="0" borderId="0" xfId="0" applyNumberFormat="1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9" fontId="9" fillId="0" borderId="0" xfId="0" applyNumberFormat="1" applyFont="1" applyFill="1" applyAlignment="1">
      <alignment horizontal="center" vertical="center"/>
    </xf>
    <xf numFmtId="9" fontId="8" fillId="0" borderId="8" xfId="0" applyNumberFormat="1" applyFont="1" applyFill="1" applyBorder="1" applyAlignment="1">
      <alignment horizontal="center" vertical="center"/>
    </xf>
    <xf numFmtId="9" fontId="8" fillId="0" borderId="13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vertical="center"/>
    </xf>
    <xf numFmtId="2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1" fontId="0" fillId="3" borderId="7" xfId="0" applyNumberFormat="1" applyFill="1" applyBorder="1" applyAlignment="1">
      <alignment horizontal="center" vertical="center"/>
    </xf>
    <xf numFmtId="1" fontId="0" fillId="3" borderId="19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indent="1"/>
    </xf>
    <xf numFmtId="0" fontId="4" fillId="0" borderId="0" xfId="0" applyFont="1"/>
    <xf numFmtId="0" fontId="4" fillId="0" borderId="0" xfId="0" applyFont="1" applyFill="1"/>
    <xf numFmtId="0" fontId="4" fillId="0" borderId="0" xfId="0" applyFont="1" applyFill="1" applyAlignment="1">
      <alignment vertical="center"/>
    </xf>
    <xf numFmtId="9" fontId="4" fillId="0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Fill="1" applyBorder="1"/>
    <xf numFmtId="9" fontId="4" fillId="0" borderId="0" xfId="0" applyNumberFormat="1" applyFont="1" applyFill="1" applyBorder="1"/>
    <xf numFmtId="0" fontId="0" fillId="3" borderId="10" xfId="0" applyFill="1" applyBorder="1" applyAlignment="1">
      <alignment horizontal="left" vertical="center" indent="1"/>
    </xf>
    <xf numFmtId="0" fontId="0" fillId="0" borderId="10" xfId="0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/>
    </xf>
    <xf numFmtId="164" fontId="1" fillId="0" borderId="19" xfId="0" applyNumberFormat="1" applyFont="1" applyBorder="1" applyAlignment="1">
      <alignment horizontal="left" vertical="center" indent="1"/>
    </xf>
    <xf numFmtId="164" fontId="1" fillId="3" borderId="28" xfId="0" applyNumberFormat="1" applyFont="1" applyFill="1" applyBorder="1" applyAlignment="1">
      <alignment horizontal="left" vertical="center" indent="1"/>
    </xf>
    <xf numFmtId="164" fontId="1" fillId="0" borderId="28" xfId="0" applyNumberFormat="1" applyFont="1" applyBorder="1" applyAlignment="1">
      <alignment horizontal="left" vertical="center" indent="1"/>
    </xf>
    <xf numFmtId="164" fontId="1" fillId="0" borderId="29" xfId="0" applyNumberFormat="1" applyFont="1" applyBorder="1" applyAlignment="1">
      <alignment horizontal="left" vertical="center" indent="1"/>
    </xf>
    <xf numFmtId="0" fontId="3" fillId="2" borderId="27" xfId="0" quotePrefix="1" applyFont="1" applyFill="1" applyBorder="1" applyAlignment="1">
      <alignment horizontal="center" vertical="center" wrapText="1"/>
    </xf>
    <xf numFmtId="1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center"/>
    </xf>
    <xf numFmtId="2" fontId="0" fillId="3" borderId="30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165" fontId="0" fillId="3" borderId="9" xfId="0" applyNumberFormat="1" applyFill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32" xfId="0" applyNumberFormat="1" applyBorder="1" applyAlignment="1">
      <alignment horizontal="center" vertical="center"/>
    </xf>
    <xf numFmtId="1" fontId="0" fillId="0" borderId="33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0" fontId="0" fillId="0" borderId="15" xfId="0" applyBorder="1" applyAlignment="1">
      <alignment horizontal="left" vertical="center" indent="1"/>
    </xf>
    <xf numFmtId="0" fontId="0" fillId="0" borderId="16" xfId="0" applyBorder="1" applyAlignment="1">
      <alignment horizontal="left" vertical="center" indent="1"/>
    </xf>
    <xf numFmtId="0" fontId="0" fillId="3" borderId="17" xfId="0" applyFill="1" applyBorder="1" applyAlignment="1">
      <alignment horizontal="left" vertical="center" indent="1"/>
    </xf>
    <xf numFmtId="0" fontId="0" fillId="3" borderId="10" xfId="0" applyFill="1" applyBorder="1" applyAlignment="1">
      <alignment horizontal="left" vertical="center" indent="1"/>
    </xf>
    <xf numFmtId="0" fontId="0" fillId="0" borderId="17" xfId="0" applyBorder="1" applyAlignment="1">
      <alignment horizontal="left" vertical="center" indent="1"/>
    </xf>
    <xf numFmtId="0" fontId="0" fillId="0" borderId="10" xfId="0" applyBorder="1" applyAlignment="1">
      <alignment horizontal="left" vertical="center" indent="1"/>
    </xf>
    <xf numFmtId="0" fontId="0" fillId="0" borderId="18" xfId="0" applyBorder="1" applyAlignment="1">
      <alignment horizontal="left" vertical="center" indent="1"/>
    </xf>
    <xf numFmtId="0" fontId="0" fillId="0" borderId="11" xfId="0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12700" dist="12700" dir="5400000" rotWithShape="0">
                <a:srgbClr val="000000">
                  <a:alpha val="40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(Sayfa1!$S$11:$S$19,Sayfa1!$O$11:$O$19)</c:f>
              <c:strCache>
                <c:ptCount val="18"/>
                <c:pt idx="0">
                  <c:v>SOSYAL BİLGİLER 1. SINAV</c:v>
                </c:pt>
                <c:pt idx="1">
                  <c:v>SOSYAL BİLGİLER 1. KONTROL TESTİ</c:v>
                </c:pt>
                <c:pt idx="2">
                  <c:v>SOSYAL BİLGİLER 2.ÜNİTE DEĞ. TESTİ</c:v>
                </c:pt>
                <c:pt idx="3">
                  <c:v>DENEME SINAVI 8. DENEME SINAVI</c:v>
                </c:pt>
                <c:pt idx="4">
                  <c:v>FEN BİLİMLERİ 1. SINAV</c:v>
                </c:pt>
                <c:pt idx="5">
                  <c:v>SOSYAL BİLGİLER 2. YAZILI SINAV</c:v>
                </c:pt>
                <c:pt idx="6">
                  <c:v>DENEME SINAVI 9. DENEME SINAVI</c:v>
                </c:pt>
                <c:pt idx="7">
                  <c:v>İNGİLİZCE 1. DENEME SINAVI</c:v>
                </c:pt>
                <c:pt idx="8">
                  <c:v>DİN KÜLTÜRÜ 1. SINAV</c:v>
                </c:pt>
                <c:pt idx="9">
                  <c:v>7</c:v>
                </c:pt>
                <c:pt idx="10">
                  <c:v>6</c:v>
                </c:pt>
                <c:pt idx="11">
                  <c:v>9</c:v>
                </c:pt>
                <c:pt idx="12">
                  <c:v>69</c:v>
                </c:pt>
                <c:pt idx="13">
                  <c:v>12</c:v>
                </c:pt>
                <c:pt idx="14">
                  <c:v>14</c:v>
                </c:pt>
                <c:pt idx="15">
                  <c:v>45</c:v>
                </c:pt>
                <c:pt idx="16">
                  <c:v>16</c:v>
                </c:pt>
                <c:pt idx="17">
                  <c:v>8</c:v>
                </c:pt>
              </c:strCache>
            </c:strRef>
          </c:cat>
          <c:val>
            <c:numRef>
              <c:f>Sayfa1!$T$11:$T$19</c:f>
              <c:numCache>
                <c:formatCode>0%</c:formatCode>
                <c:ptCount val="9"/>
                <c:pt idx="0">
                  <c:v>0.8</c:v>
                </c:pt>
                <c:pt idx="1">
                  <c:v>0.9</c:v>
                </c:pt>
                <c:pt idx="2">
                  <c:v>0.85</c:v>
                </c:pt>
                <c:pt idx="3">
                  <c:v>0.65</c:v>
                </c:pt>
                <c:pt idx="4">
                  <c:v>0.65</c:v>
                </c:pt>
                <c:pt idx="5">
                  <c:v>0.84</c:v>
                </c:pt>
                <c:pt idx="6">
                  <c:v>0.73333333333333328</c:v>
                </c:pt>
                <c:pt idx="7">
                  <c:v>0.44</c:v>
                </c:pt>
                <c:pt idx="8">
                  <c:v>0.82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9"/>
        <c:axId val="-1729267808"/>
        <c:axId val="-1729282496"/>
      </c:barChart>
      <c:catAx>
        <c:axId val="-17292678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729282496"/>
        <c:crosses val="autoZero"/>
        <c:auto val="0"/>
        <c:lblAlgn val="ctr"/>
        <c:lblOffset val="100"/>
        <c:tickMarkSkip val="1"/>
        <c:noMultiLvlLbl val="0"/>
      </c:catAx>
      <c:valAx>
        <c:axId val="-1729282496"/>
        <c:scaling>
          <c:orientation val="minMax"/>
          <c:max val="1"/>
          <c:min val="0.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72926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 alignWithMargins="0"/>
    <c:pageMargins b="1" l="0.75" r="0.75" t="1" header="0.5" footer="0.5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190499</xdr:rowOff>
    </xdr:from>
    <xdr:to>
      <xdr:col>14</xdr:col>
      <xdr:colOff>419099</xdr:colOff>
      <xdr:row>38</xdr:row>
      <xdr:rowOff>95250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85725</xdr:colOff>
      <xdr:row>0</xdr:row>
      <xdr:rowOff>247650</xdr:rowOff>
    </xdr:from>
    <xdr:to>
      <xdr:col>14</xdr:col>
      <xdr:colOff>400050</xdr:colOff>
      <xdr:row>7</xdr:row>
      <xdr:rowOff>80217</xdr:rowOff>
    </xdr:to>
    <xdr:pic>
      <xdr:nvPicPr>
        <xdr:cNvPr id="5" name="Resim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247650"/>
          <a:ext cx="1276350" cy="13375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21"/>
  <sheetViews>
    <sheetView tabSelected="1" zoomScaleNormal="100" workbookViewId="0">
      <selection activeCell="O11" sqref="O11"/>
    </sheetView>
  </sheetViews>
  <sheetFormatPr defaultRowHeight="15" x14ac:dyDescent="0.25"/>
  <cols>
    <col min="1" max="1" width="6.5703125" style="1" customWidth="1"/>
    <col min="2" max="3" width="9.28515625" style="1" customWidth="1"/>
    <col min="4" max="4" width="21.5703125" style="1" customWidth="1"/>
    <col min="5" max="5" width="12.28515625" style="1" customWidth="1"/>
    <col min="6" max="6" width="6.7109375" style="2" customWidth="1"/>
    <col min="7" max="7" width="9.140625" style="2" bestFit="1" customWidth="1"/>
    <col min="8" max="10" width="6.7109375" style="2" customWidth="1"/>
    <col min="11" max="13" width="7.7109375" style="2" customWidth="1"/>
    <col min="14" max="15" width="6.7109375" style="3" customWidth="1"/>
    <col min="16" max="16" width="6.7109375" customWidth="1"/>
    <col min="17" max="17" width="15.5703125" style="33" bestFit="1" customWidth="1"/>
    <col min="18" max="18" width="17.7109375" style="33" bestFit="1" customWidth="1"/>
    <col min="19" max="19" width="11.42578125" style="34" bestFit="1" customWidth="1"/>
    <col min="20" max="20" width="13.140625" style="35" bestFit="1" customWidth="1"/>
    <col min="21" max="23" width="9.140625" style="24"/>
    <col min="24" max="16384" width="9.140625" style="3"/>
  </cols>
  <sheetData>
    <row r="1" spans="1:23" s="59" customFormat="1" ht="31.5" customHeight="1" x14ac:dyDescent="0.25">
      <c r="A1" s="98" t="s">
        <v>20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55"/>
      <c r="Q1" s="56"/>
      <c r="R1" s="56"/>
      <c r="S1" s="57"/>
      <c r="T1" s="58"/>
    </row>
    <row r="2" spans="1:23" s="59" customFormat="1" ht="12" customHeight="1" x14ac:dyDescent="0.25">
      <c r="A2" s="60"/>
      <c r="B2" s="60"/>
      <c r="C2" s="60"/>
      <c r="D2" s="60"/>
      <c r="E2" s="60"/>
      <c r="F2" s="61"/>
      <c r="G2" s="61"/>
      <c r="H2" s="61"/>
      <c r="I2" s="61"/>
      <c r="J2" s="61"/>
      <c r="K2" s="61"/>
      <c r="L2" s="61"/>
      <c r="M2" s="61"/>
      <c r="P2" s="55"/>
      <c r="Q2" s="56"/>
      <c r="R2" s="56"/>
      <c r="S2" s="57"/>
      <c r="T2" s="58"/>
    </row>
    <row r="3" spans="1:23" s="5" customFormat="1" ht="15" customHeight="1" x14ac:dyDescent="0.25">
      <c r="A3" s="9" t="s">
        <v>4</v>
      </c>
      <c r="B3" s="9"/>
      <c r="C3" s="99" t="s">
        <v>22</v>
      </c>
      <c r="D3" s="99"/>
      <c r="E3" s="10"/>
      <c r="F3" s="10"/>
      <c r="G3" s="10"/>
      <c r="H3" s="4"/>
      <c r="I3" s="4"/>
      <c r="J3" s="4"/>
      <c r="P3" s="55"/>
      <c r="Q3" s="56"/>
      <c r="R3" s="56"/>
      <c r="S3" s="63"/>
      <c r="T3" s="64"/>
    </row>
    <row r="4" spans="1:23" s="5" customFormat="1" ht="15" customHeight="1" x14ac:dyDescent="0.25">
      <c r="A4" s="13" t="s">
        <v>21</v>
      </c>
      <c r="B4" s="13"/>
      <c r="C4" s="99" t="s">
        <v>23</v>
      </c>
      <c r="D4" s="99"/>
      <c r="E4" s="10"/>
      <c r="F4" s="67"/>
      <c r="G4" s="67"/>
      <c r="H4" s="4"/>
      <c r="I4" s="4"/>
      <c r="J4" s="4"/>
      <c r="P4" s="55"/>
      <c r="Q4" s="56"/>
      <c r="R4" s="56"/>
      <c r="S4" s="63"/>
      <c r="T4" s="64"/>
    </row>
    <row r="5" spans="1:23" s="5" customFormat="1" ht="15" customHeight="1" x14ac:dyDescent="0.25">
      <c r="A5" s="13" t="s">
        <v>39</v>
      </c>
      <c r="C5" s="67" t="s">
        <v>40</v>
      </c>
      <c r="D5" s="67"/>
      <c r="E5" s="10"/>
      <c r="F5" s="67"/>
      <c r="G5" s="67"/>
      <c r="H5" s="4"/>
      <c r="I5" s="4"/>
      <c r="J5" s="4"/>
      <c r="N5" s="18"/>
      <c r="O5" s="62"/>
      <c r="P5" s="55"/>
      <c r="Q5" s="56"/>
      <c r="R5" s="56"/>
      <c r="S5" s="63"/>
      <c r="T5" s="64"/>
    </row>
    <row r="6" spans="1:23" s="5" customFormat="1" ht="15" customHeight="1" x14ac:dyDescent="0.25">
      <c r="A6" s="13" t="s">
        <v>41</v>
      </c>
      <c r="C6" s="67" t="s">
        <v>42</v>
      </c>
      <c r="D6" s="67"/>
      <c r="E6" s="10"/>
      <c r="F6" s="67"/>
      <c r="G6" s="67"/>
      <c r="H6" s="4"/>
      <c r="I6" s="4"/>
      <c r="J6" s="4"/>
      <c r="N6" s="18"/>
      <c r="O6" s="62"/>
      <c r="P6" s="55"/>
      <c r="Q6" s="56"/>
      <c r="R6" s="56"/>
      <c r="S6" s="63"/>
      <c r="T6" s="64"/>
    </row>
    <row r="7" spans="1:23" s="5" customFormat="1" ht="15" customHeight="1" x14ac:dyDescent="0.25">
      <c r="A7" s="13"/>
      <c r="C7" s="67"/>
      <c r="D7" s="67"/>
      <c r="E7" s="10"/>
      <c r="F7" s="67"/>
      <c r="G7" s="67"/>
      <c r="H7" s="4"/>
      <c r="I7" s="4"/>
      <c r="J7" s="4"/>
      <c r="N7" s="18"/>
      <c r="O7" s="62"/>
      <c r="P7" s="55"/>
      <c r="Q7" s="56"/>
      <c r="R7" s="56"/>
      <c r="S7" s="63"/>
      <c r="T7" s="64"/>
    </row>
    <row r="8" spans="1:23" s="5" customFormat="1" ht="12.75" customHeight="1" x14ac:dyDescent="0.25">
      <c r="A8" s="13"/>
      <c r="B8" s="13"/>
      <c r="C8" s="26"/>
      <c r="D8" s="26"/>
      <c r="E8" s="10"/>
      <c r="F8" s="67"/>
      <c r="G8" s="67"/>
      <c r="H8" s="4"/>
      <c r="I8" s="4"/>
      <c r="J8" s="4"/>
      <c r="N8" s="18"/>
      <c r="O8" s="27"/>
      <c r="P8"/>
      <c r="Q8" s="33"/>
      <c r="R8" s="33"/>
      <c r="S8" s="36"/>
      <c r="T8" s="37"/>
      <c r="U8" s="25"/>
      <c r="V8" s="25"/>
      <c r="W8" s="25"/>
    </row>
    <row r="9" spans="1:23" s="29" customFormat="1" ht="20.100000000000001" customHeight="1" x14ac:dyDescent="0.25">
      <c r="A9" s="90" t="s">
        <v>0</v>
      </c>
      <c r="B9" s="92" t="s">
        <v>37</v>
      </c>
      <c r="C9" s="93"/>
      <c r="D9" s="90" t="s">
        <v>1</v>
      </c>
      <c r="E9" s="90" t="s">
        <v>2</v>
      </c>
      <c r="F9" s="97" t="s">
        <v>26</v>
      </c>
      <c r="G9" s="97"/>
      <c r="H9" s="96" t="s">
        <v>27</v>
      </c>
      <c r="I9" s="97"/>
      <c r="J9" s="97"/>
      <c r="K9" s="97"/>
      <c r="L9" s="97"/>
      <c r="M9" s="97"/>
      <c r="N9" s="97"/>
      <c r="O9" s="97"/>
      <c r="P9"/>
      <c r="Q9" s="33"/>
      <c r="R9" s="33"/>
      <c r="S9" s="38"/>
      <c r="T9" s="39"/>
      <c r="U9" s="28"/>
      <c r="V9" s="28"/>
      <c r="W9" s="28"/>
    </row>
    <row r="10" spans="1:23" s="1" customFormat="1" ht="34.5" customHeight="1" x14ac:dyDescent="0.25">
      <c r="A10" s="91"/>
      <c r="B10" s="94"/>
      <c r="C10" s="95"/>
      <c r="D10" s="91"/>
      <c r="E10" s="91"/>
      <c r="F10" s="44" t="s">
        <v>5</v>
      </c>
      <c r="G10" s="44" t="s">
        <v>25</v>
      </c>
      <c r="H10" s="72" t="s">
        <v>6</v>
      </c>
      <c r="I10" s="45" t="s">
        <v>7</v>
      </c>
      <c r="J10" s="45" t="s">
        <v>31</v>
      </c>
      <c r="K10" s="44" t="s">
        <v>8</v>
      </c>
      <c r="L10" s="44" t="s">
        <v>38</v>
      </c>
      <c r="M10" s="44" t="s">
        <v>3</v>
      </c>
      <c r="N10" s="44" t="s">
        <v>43</v>
      </c>
      <c r="O10" s="44" t="s">
        <v>44</v>
      </c>
      <c r="P10"/>
      <c r="Q10" s="33"/>
      <c r="R10" s="33"/>
      <c r="S10" s="40"/>
      <c r="T10" s="41"/>
      <c r="U10" s="30"/>
      <c r="V10" s="30"/>
      <c r="W10" s="30"/>
    </row>
    <row r="11" spans="1:23" ht="21.75" customHeight="1" x14ac:dyDescent="0.25">
      <c r="A11" s="8">
        <v>1</v>
      </c>
      <c r="B11" s="101" t="s">
        <v>9</v>
      </c>
      <c r="C11" s="102"/>
      <c r="D11" s="14" t="s">
        <v>15</v>
      </c>
      <c r="E11" s="68">
        <v>42328</v>
      </c>
      <c r="F11" s="73">
        <v>25</v>
      </c>
      <c r="G11" s="74">
        <v>72</v>
      </c>
      <c r="H11" s="85">
        <v>20</v>
      </c>
      <c r="I11" s="22">
        <v>5</v>
      </c>
      <c r="J11" s="22">
        <v>0</v>
      </c>
      <c r="K11" s="86">
        <v>20</v>
      </c>
      <c r="L11" s="87">
        <f>(K11/F11)*100</f>
        <v>80</v>
      </c>
      <c r="M11" s="81">
        <f>K11/F11</f>
        <v>0.8</v>
      </c>
      <c r="N11" s="22">
        <v>4</v>
      </c>
      <c r="O11" s="20">
        <v>7</v>
      </c>
      <c r="Q11" s="33" t="s">
        <v>32</v>
      </c>
      <c r="R11" s="33" t="s">
        <v>15</v>
      </c>
      <c r="S11" s="34" t="str">
        <f>CONCATENATE(Q11,R11)</f>
        <v>SOSYAL BİLGİLER 1. SINAV</v>
      </c>
      <c r="T11" s="42">
        <v>0.8</v>
      </c>
      <c r="V11" s="24" t="s">
        <v>9</v>
      </c>
    </row>
    <row r="12" spans="1:23" ht="21.75" customHeight="1" x14ac:dyDescent="0.25">
      <c r="A12" s="49">
        <v>2</v>
      </c>
      <c r="B12" s="103" t="s">
        <v>9</v>
      </c>
      <c r="C12" s="104"/>
      <c r="D12" s="65" t="s">
        <v>16</v>
      </c>
      <c r="E12" s="69">
        <v>42329</v>
      </c>
      <c r="F12" s="75">
        <v>20</v>
      </c>
      <c r="G12" s="76">
        <v>65</v>
      </c>
      <c r="H12" s="75">
        <v>18</v>
      </c>
      <c r="I12" s="50">
        <v>2</v>
      </c>
      <c r="J12" s="52">
        <v>0</v>
      </c>
      <c r="K12" s="51">
        <v>18</v>
      </c>
      <c r="L12" s="88">
        <f t="shared" ref="L12:L19" si="0">(K12/F12)*100</f>
        <v>90</v>
      </c>
      <c r="M12" s="82">
        <f t="shared" ref="M12:M19" si="1">K12/F12</f>
        <v>0.9</v>
      </c>
      <c r="N12" s="52">
        <v>3</v>
      </c>
      <c r="O12" s="53">
        <v>6</v>
      </c>
      <c r="Q12" s="33" t="s">
        <v>32</v>
      </c>
      <c r="R12" s="33" t="s">
        <v>16</v>
      </c>
      <c r="S12" s="34" t="str">
        <f t="shared" ref="S12:S19" si="2">CONCATENATE(Q12,R12)</f>
        <v>SOSYAL BİLGİLER 1. KONTROL TESTİ</v>
      </c>
      <c r="T12" s="42">
        <v>0.9</v>
      </c>
      <c r="V12" s="24" t="s">
        <v>9</v>
      </c>
    </row>
    <row r="13" spans="1:23" ht="21.75" customHeight="1" x14ac:dyDescent="0.25">
      <c r="A13" s="6">
        <v>3</v>
      </c>
      <c r="B13" s="105" t="s">
        <v>9</v>
      </c>
      <c r="C13" s="106"/>
      <c r="D13" s="66" t="s">
        <v>17</v>
      </c>
      <c r="E13" s="70">
        <v>42330</v>
      </c>
      <c r="F13" s="77">
        <v>20</v>
      </c>
      <c r="G13" s="78">
        <v>60</v>
      </c>
      <c r="H13" s="77">
        <v>17</v>
      </c>
      <c r="I13" s="16">
        <v>3</v>
      </c>
      <c r="J13" s="15">
        <v>0</v>
      </c>
      <c r="K13" s="11">
        <v>17</v>
      </c>
      <c r="L13" s="74">
        <f t="shared" si="0"/>
        <v>85</v>
      </c>
      <c r="M13" s="83">
        <f t="shared" si="1"/>
        <v>0.85</v>
      </c>
      <c r="N13" s="15">
        <v>5</v>
      </c>
      <c r="O13" s="20">
        <v>9</v>
      </c>
      <c r="Q13" s="33" t="s">
        <v>32</v>
      </c>
      <c r="R13" s="33" t="s">
        <v>17</v>
      </c>
      <c r="S13" s="34" t="str">
        <f t="shared" si="2"/>
        <v>SOSYAL BİLGİLER 2.ÜNİTE DEĞ. TESTİ</v>
      </c>
      <c r="T13" s="42">
        <v>0.85</v>
      </c>
      <c r="V13" s="24" t="s">
        <v>9</v>
      </c>
    </row>
    <row r="14" spans="1:23" ht="21.75" customHeight="1" x14ac:dyDescent="0.25">
      <c r="A14" s="49">
        <v>4</v>
      </c>
      <c r="B14" s="103" t="s">
        <v>28</v>
      </c>
      <c r="C14" s="104"/>
      <c r="D14" s="65" t="s">
        <v>30</v>
      </c>
      <c r="E14" s="69">
        <v>42262</v>
      </c>
      <c r="F14" s="75">
        <v>120</v>
      </c>
      <c r="G14" s="76">
        <v>418.62</v>
      </c>
      <c r="H14" s="75">
        <v>78</v>
      </c>
      <c r="I14" s="50">
        <v>42</v>
      </c>
      <c r="J14" s="52">
        <v>0</v>
      </c>
      <c r="K14" s="51">
        <v>78</v>
      </c>
      <c r="L14" s="88">
        <v>455.87</v>
      </c>
      <c r="M14" s="82">
        <f t="shared" si="1"/>
        <v>0.65</v>
      </c>
      <c r="N14" s="52">
        <v>13</v>
      </c>
      <c r="O14" s="53">
        <v>69</v>
      </c>
      <c r="Q14" s="33" t="s">
        <v>33</v>
      </c>
      <c r="R14" s="33" t="s">
        <v>30</v>
      </c>
      <c r="S14" s="34" t="str">
        <f t="shared" si="2"/>
        <v>DENEME SINAVI 8. DENEME SINAVI</v>
      </c>
      <c r="T14" s="42">
        <v>0.65</v>
      </c>
      <c r="V14" s="24" t="s">
        <v>10</v>
      </c>
    </row>
    <row r="15" spans="1:23" ht="21.75" customHeight="1" x14ac:dyDescent="0.25">
      <c r="A15" s="6">
        <v>5</v>
      </c>
      <c r="B15" s="105" t="s">
        <v>11</v>
      </c>
      <c r="C15" s="106"/>
      <c r="D15" s="66" t="s">
        <v>15</v>
      </c>
      <c r="E15" s="70">
        <v>42297</v>
      </c>
      <c r="F15" s="77">
        <v>20</v>
      </c>
      <c r="G15" s="78">
        <v>65</v>
      </c>
      <c r="H15" s="77">
        <v>13</v>
      </c>
      <c r="I15" s="16">
        <v>7</v>
      </c>
      <c r="J15" s="15">
        <v>0</v>
      </c>
      <c r="K15" s="11">
        <v>13</v>
      </c>
      <c r="L15" s="74">
        <f t="shared" si="0"/>
        <v>65</v>
      </c>
      <c r="M15" s="83">
        <f t="shared" si="1"/>
        <v>0.65</v>
      </c>
      <c r="N15" s="15">
        <v>8</v>
      </c>
      <c r="O15" s="20">
        <v>12</v>
      </c>
      <c r="Q15" s="33" t="s">
        <v>34</v>
      </c>
      <c r="R15" s="33" t="s">
        <v>15</v>
      </c>
      <c r="S15" s="34" t="str">
        <f t="shared" si="2"/>
        <v>FEN BİLİMLERİ 1. SINAV</v>
      </c>
      <c r="T15" s="42">
        <v>0.65</v>
      </c>
      <c r="V15" s="24" t="s">
        <v>11</v>
      </c>
    </row>
    <row r="16" spans="1:23" ht="21.75" customHeight="1" x14ac:dyDescent="0.25">
      <c r="A16" s="49">
        <v>6</v>
      </c>
      <c r="B16" s="103" t="s">
        <v>9</v>
      </c>
      <c r="C16" s="104"/>
      <c r="D16" s="65" t="s">
        <v>18</v>
      </c>
      <c r="E16" s="69">
        <v>42299</v>
      </c>
      <c r="F16" s="75">
        <v>25</v>
      </c>
      <c r="G16" s="76">
        <v>60</v>
      </c>
      <c r="H16" s="75">
        <v>21</v>
      </c>
      <c r="I16" s="50">
        <v>4</v>
      </c>
      <c r="J16" s="52">
        <v>0</v>
      </c>
      <c r="K16" s="51">
        <v>21</v>
      </c>
      <c r="L16" s="88">
        <f t="shared" si="0"/>
        <v>84</v>
      </c>
      <c r="M16" s="82">
        <f t="shared" si="1"/>
        <v>0.84</v>
      </c>
      <c r="N16" s="52">
        <v>6</v>
      </c>
      <c r="O16" s="53">
        <v>14</v>
      </c>
      <c r="Q16" s="33" t="s">
        <v>32</v>
      </c>
      <c r="R16" s="33" t="s">
        <v>18</v>
      </c>
      <c r="S16" s="34" t="str">
        <f t="shared" si="2"/>
        <v>SOSYAL BİLGİLER 2. YAZILI SINAV</v>
      </c>
      <c r="T16" s="42">
        <v>0.84</v>
      </c>
      <c r="V16" s="24" t="s">
        <v>9</v>
      </c>
    </row>
    <row r="17" spans="1:22" ht="21.75" customHeight="1" x14ac:dyDescent="0.25">
      <c r="A17" s="6">
        <v>7</v>
      </c>
      <c r="B17" s="105" t="s">
        <v>28</v>
      </c>
      <c r="C17" s="106"/>
      <c r="D17" s="66" t="s">
        <v>29</v>
      </c>
      <c r="E17" s="70">
        <v>42314</v>
      </c>
      <c r="F17" s="77">
        <v>120</v>
      </c>
      <c r="G17" s="78">
        <v>598.25</v>
      </c>
      <c r="H17" s="77">
        <v>88</v>
      </c>
      <c r="I17" s="16">
        <v>32</v>
      </c>
      <c r="J17" s="15">
        <v>0</v>
      </c>
      <c r="K17" s="11">
        <v>88</v>
      </c>
      <c r="L17" s="74">
        <v>513.25</v>
      </c>
      <c r="M17" s="83">
        <f t="shared" si="1"/>
        <v>0.73333333333333328</v>
      </c>
      <c r="N17" s="15">
        <v>8</v>
      </c>
      <c r="O17" s="20">
        <v>45</v>
      </c>
      <c r="Q17" s="33" t="s">
        <v>33</v>
      </c>
      <c r="R17" s="33" t="s">
        <v>29</v>
      </c>
      <c r="S17" s="34" t="str">
        <f t="shared" si="2"/>
        <v>DENEME SINAVI 9. DENEME SINAVI</v>
      </c>
      <c r="T17" s="42">
        <v>0.73333333333333328</v>
      </c>
      <c r="V17" s="24" t="s">
        <v>12</v>
      </c>
    </row>
    <row r="18" spans="1:22" ht="21.75" customHeight="1" x14ac:dyDescent="0.25">
      <c r="A18" s="49">
        <v>8</v>
      </c>
      <c r="B18" s="103" t="s">
        <v>13</v>
      </c>
      <c r="C18" s="104"/>
      <c r="D18" s="54" t="s">
        <v>19</v>
      </c>
      <c r="E18" s="69">
        <v>42328</v>
      </c>
      <c r="F18" s="75">
        <v>25</v>
      </c>
      <c r="G18" s="76">
        <v>53</v>
      </c>
      <c r="H18" s="75">
        <v>11</v>
      </c>
      <c r="I18" s="50">
        <v>14</v>
      </c>
      <c r="J18" s="52">
        <v>0</v>
      </c>
      <c r="K18" s="51">
        <v>11</v>
      </c>
      <c r="L18" s="88">
        <f t="shared" si="0"/>
        <v>44</v>
      </c>
      <c r="M18" s="82">
        <f t="shared" si="1"/>
        <v>0.44</v>
      </c>
      <c r="N18" s="52">
        <v>12</v>
      </c>
      <c r="O18" s="53">
        <v>16</v>
      </c>
      <c r="Q18" s="33" t="s">
        <v>35</v>
      </c>
      <c r="R18" s="33" t="s">
        <v>19</v>
      </c>
      <c r="S18" s="34" t="str">
        <f t="shared" si="2"/>
        <v>İNGİLİZCE 1. DENEME SINAVI</v>
      </c>
      <c r="T18" s="42">
        <v>0.44</v>
      </c>
      <c r="V18" s="24" t="s">
        <v>13</v>
      </c>
    </row>
    <row r="19" spans="1:22" ht="21.75" customHeight="1" x14ac:dyDescent="0.25">
      <c r="A19" s="7">
        <v>9</v>
      </c>
      <c r="B19" s="107" t="s">
        <v>14</v>
      </c>
      <c r="C19" s="108"/>
      <c r="D19" s="19" t="s">
        <v>15</v>
      </c>
      <c r="E19" s="71">
        <v>42329</v>
      </c>
      <c r="F19" s="79">
        <v>50</v>
      </c>
      <c r="G19" s="80">
        <v>55</v>
      </c>
      <c r="H19" s="79">
        <v>41</v>
      </c>
      <c r="I19" s="17">
        <v>9</v>
      </c>
      <c r="J19" s="23">
        <v>0</v>
      </c>
      <c r="K19" s="12">
        <v>41</v>
      </c>
      <c r="L19" s="89">
        <f t="shared" si="0"/>
        <v>82</v>
      </c>
      <c r="M19" s="84">
        <f t="shared" si="1"/>
        <v>0.82</v>
      </c>
      <c r="N19" s="23">
        <v>6</v>
      </c>
      <c r="O19" s="21">
        <v>8</v>
      </c>
      <c r="Q19" s="33" t="s">
        <v>36</v>
      </c>
      <c r="R19" s="33" t="s">
        <v>15</v>
      </c>
      <c r="S19" s="34" t="str">
        <f t="shared" si="2"/>
        <v>DİN KÜLTÜRÜ 1. SINAV</v>
      </c>
      <c r="T19" s="43">
        <v>0.82</v>
      </c>
      <c r="V19" s="24" t="s">
        <v>14</v>
      </c>
    </row>
    <row r="20" spans="1:22" ht="10.5" customHeight="1" x14ac:dyDescent="0.25">
      <c r="C20" s="100"/>
      <c r="D20" s="100"/>
      <c r="E20" s="100"/>
      <c r="G20" s="31"/>
      <c r="M20" s="32"/>
    </row>
    <row r="21" spans="1:22" ht="19.5" customHeight="1" x14ac:dyDescent="0.25">
      <c r="C21" s="3"/>
      <c r="D21"/>
      <c r="E21" s="46" t="s">
        <v>24</v>
      </c>
      <c r="F21" s="47">
        <f t="shared" ref="F21:K21" si="3">AVERAGE(F11:F19)</f>
        <v>47.222222222222221</v>
      </c>
      <c r="G21" s="47"/>
      <c r="H21" s="47">
        <f t="shared" si="3"/>
        <v>34.111111111111114</v>
      </c>
      <c r="I21" s="47">
        <f t="shared" si="3"/>
        <v>13.111111111111111</v>
      </c>
      <c r="J21" s="47">
        <f t="shared" si="3"/>
        <v>0</v>
      </c>
      <c r="K21" s="47">
        <f t="shared" si="3"/>
        <v>34.111111111111114</v>
      </c>
      <c r="L21" s="47"/>
      <c r="M21" s="48">
        <f>AVERAGE(M11:M19)</f>
        <v>0.74259259259259269</v>
      </c>
    </row>
  </sheetData>
  <mergeCells count="19">
    <mergeCell ref="C20:E2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D9:D10"/>
    <mergeCell ref="B9:C10"/>
    <mergeCell ref="A9:A10"/>
    <mergeCell ref="H9:O9"/>
    <mergeCell ref="A1:O1"/>
    <mergeCell ref="C3:D3"/>
    <mergeCell ref="C4:D4"/>
    <mergeCell ref="F9:G9"/>
    <mergeCell ref="E9:E10"/>
  </mergeCells>
  <printOptions horizontalCentered="1"/>
  <pageMargins left="0.59055118110236227" right="0.59055118110236227" top="0.74803149606299213" bottom="0.74803149606299213" header="0.31496062992125984" footer="0.31496062992125984"/>
  <pageSetup paperSize="9" scale="68"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2016-02-05T22:28:26Z</dcterms:modified>
</cp:coreProperties>
</file>